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1a4a13f40a850b/바탕 화면/"/>
    </mc:Choice>
  </mc:AlternateContent>
  <xr:revisionPtr revIDLastSave="0" documentId="8_{122A62F4-AD9B-450A-B085-29C192858228}" xr6:coauthVersionLast="47" xr6:coauthVersionMax="47" xr10:uidLastSave="{00000000-0000-0000-0000-000000000000}"/>
  <bookViews>
    <workbookView xWindow="-120" yWindow="-120" windowWidth="28065" windowHeight="16440" firstSheet="1" activeTab="4" xr2:uid="{00000000-000D-0000-FFFF-FFFF00000000}"/>
  </bookViews>
  <sheets>
    <sheet name="26년1~3월" sheetId="7" r:id="rId1"/>
    <sheet name="26년4~5월" sheetId="8" r:id="rId2"/>
    <sheet name="26년5~6월" sheetId="11" r:id="rId3"/>
    <sheet name="26년5~7월" sheetId="10" r:id="rId4"/>
    <sheet name="26년6~8월" sheetId="12" r:id="rId5"/>
    <sheet name="data_주일" sheetId="2" r:id="rId6"/>
    <sheet name="data_수요일" sheetId="3" r:id="rId7"/>
    <sheet name="출석부 추가표시 명단" sheetId="5" r:id="rId8"/>
  </sheets>
  <definedNames>
    <definedName name="_xlnm._FilterDatabase" localSheetId="6" hidden="1">data_수요일!$C$10:$W$293</definedName>
    <definedName name="_xlnm._FilterDatabase" localSheetId="5" hidden="1">data_주일!$A$7:$BC$299</definedName>
    <definedName name="_xlnm.Print_Area" localSheetId="1">'26년4~5월'!$A$1:$L$62</definedName>
    <definedName name="_xlnm.Print_Area" localSheetId="2">'26년5~6월'!$A$1:$U$61</definedName>
    <definedName name="_xlnm.Print_Area" localSheetId="3">'26년5~7월'!$A$1:$Z$70</definedName>
    <definedName name="_xlnm.Print_Area" localSheetId="4">'26년6~8월'!$A$1:$Z$80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" i="12" l="1"/>
  <c r="H74" i="12"/>
  <c r="I74" i="12"/>
  <c r="J74" i="12"/>
  <c r="K74" i="12"/>
  <c r="L74" i="12"/>
  <c r="M74" i="12"/>
  <c r="N74" i="12"/>
  <c r="O74" i="12"/>
  <c r="P74" i="12"/>
  <c r="Q74" i="12"/>
  <c r="R74" i="12"/>
  <c r="S74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G76" i="12"/>
  <c r="H76" i="12"/>
  <c r="I76" i="12"/>
  <c r="J76" i="12"/>
  <c r="K76" i="12"/>
  <c r="L76" i="12"/>
  <c r="M76" i="12"/>
  <c r="N76" i="12"/>
  <c r="O76" i="12"/>
  <c r="P76" i="12"/>
  <c r="Q76" i="12"/>
  <c r="R76" i="12"/>
  <c r="S76" i="12"/>
  <c r="G77" i="12"/>
  <c r="H77" i="12"/>
  <c r="I77" i="12"/>
  <c r="J77" i="12"/>
  <c r="K77" i="12"/>
  <c r="L77" i="12"/>
  <c r="M77" i="12"/>
  <c r="N77" i="12"/>
  <c r="O77" i="12"/>
  <c r="P77" i="12"/>
  <c r="Q77" i="12"/>
  <c r="R77" i="12"/>
  <c r="S77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H43" i="12"/>
  <c r="I43" i="12"/>
  <c r="J43" i="12"/>
  <c r="K43" i="12"/>
  <c r="L43" i="12"/>
  <c r="M43" i="12"/>
  <c r="N43" i="12"/>
  <c r="O43" i="12"/>
  <c r="P43" i="12"/>
  <c r="Q43" i="12"/>
  <c r="R43" i="12"/>
  <c r="H44" i="12"/>
  <c r="I44" i="12"/>
  <c r="J44" i="12"/>
  <c r="K44" i="12"/>
  <c r="L44" i="12"/>
  <c r="M44" i="12"/>
  <c r="N44" i="12"/>
  <c r="O44" i="12"/>
  <c r="P44" i="12"/>
  <c r="Q44" i="12"/>
  <c r="R44" i="12"/>
  <c r="H45" i="12"/>
  <c r="I45" i="12"/>
  <c r="J45" i="12"/>
  <c r="K45" i="12"/>
  <c r="L45" i="12"/>
  <c r="M45" i="12"/>
  <c r="N45" i="12"/>
  <c r="O45" i="12"/>
  <c r="P45" i="12"/>
  <c r="Q45" i="12"/>
  <c r="R45" i="12"/>
  <c r="H46" i="12"/>
  <c r="I46" i="12"/>
  <c r="J46" i="12"/>
  <c r="K46" i="12"/>
  <c r="L46" i="12"/>
  <c r="M46" i="12"/>
  <c r="N46" i="12"/>
  <c r="O46" i="12"/>
  <c r="P46" i="12"/>
  <c r="Q46" i="12"/>
  <c r="R46" i="12"/>
  <c r="H47" i="12"/>
  <c r="I47" i="12"/>
  <c r="J47" i="12"/>
  <c r="K47" i="12"/>
  <c r="L47" i="12"/>
  <c r="M47" i="12"/>
  <c r="N47" i="12"/>
  <c r="O47" i="12"/>
  <c r="P47" i="12"/>
  <c r="Q47" i="12"/>
  <c r="R47" i="12"/>
  <c r="H48" i="12"/>
  <c r="I48" i="12"/>
  <c r="J48" i="12"/>
  <c r="K48" i="12"/>
  <c r="L48" i="12"/>
  <c r="M48" i="12"/>
  <c r="N48" i="12"/>
  <c r="O48" i="12"/>
  <c r="P48" i="12"/>
  <c r="Q48" i="12"/>
  <c r="R48" i="12"/>
  <c r="H49" i="12"/>
  <c r="I49" i="12"/>
  <c r="J49" i="12"/>
  <c r="K49" i="12"/>
  <c r="L49" i="12"/>
  <c r="M49" i="12"/>
  <c r="N49" i="12"/>
  <c r="O49" i="12"/>
  <c r="P49" i="12"/>
  <c r="Q49" i="12"/>
  <c r="R49" i="12"/>
  <c r="H50" i="12"/>
  <c r="I50" i="12"/>
  <c r="J50" i="12"/>
  <c r="K50" i="12"/>
  <c r="L50" i="12"/>
  <c r="M50" i="12"/>
  <c r="N50" i="12"/>
  <c r="O50" i="12"/>
  <c r="P50" i="12"/>
  <c r="Q50" i="12"/>
  <c r="R50" i="12"/>
  <c r="H51" i="12"/>
  <c r="I51" i="12"/>
  <c r="J51" i="12"/>
  <c r="K51" i="12"/>
  <c r="L51" i="12"/>
  <c r="M51" i="12"/>
  <c r="N51" i="12"/>
  <c r="O51" i="12"/>
  <c r="P51" i="12"/>
  <c r="Q51" i="12"/>
  <c r="R51" i="12"/>
  <c r="H52" i="12"/>
  <c r="I52" i="12"/>
  <c r="J52" i="12"/>
  <c r="K52" i="12"/>
  <c r="L52" i="12"/>
  <c r="M52" i="12"/>
  <c r="N52" i="12"/>
  <c r="O52" i="12"/>
  <c r="P52" i="12"/>
  <c r="Q52" i="12"/>
  <c r="R52" i="12"/>
  <c r="H53" i="12"/>
  <c r="I53" i="12"/>
  <c r="J53" i="12"/>
  <c r="K53" i="12"/>
  <c r="L53" i="12"/>
  <c r="M53" i="12"/>
  <c r="N53" i="12"/>
  <c r="O53" i="12"/>
  <c r="P53" i="12"/>
  <c r="Q53" i="12"/>
  <c r="R53" i="12"/>
  <c r="H54" i="12"/>
  <c r="I54" i="12"/>
  <c r="J54" i="12"/>
  <c r="K54" i="12"/>
  <c r="L54" i="12"/>
  <c r="M54" i="12"/>
  <c r="N54" i="12"/>
  <c r="O54" i="12"/>
  <c r="P54" i="12"/>
  <c r="Q54" i="12"/>
  <c r="R54" i="12"/>
  <c r="H55" i="12"/>
  <c r="I55" i="12"/>
  <c r="J55" i="12"/>
  <c r="K55" i="12"/>
  <c r="L55" i="12"/>
  <c r="M55" i="12"/>
  <c r="N55" i="12"/>
  <c r="O55" i="12"/>
  <c r="P55" i="12"/>
  <c r="Q55" i="12"/>
  <c r="R55" i="12"/>
  <c r="H56" i="12"/>
  <c r="I56" i="12"/>
  <c r="J56" i="12"/>
  <c r="K56" i="12"/>
  <c r="L56" i="12"/>
  <c r="M56" i="12"/>
  <c r="N56" i="12"/>
  <c r="O56" i="12"/>
  <c r="P56" i="12"/>
  <c r="Q56" i="12"/>
  <c r="R56" i="12"/>
  <c r="H57" i="12"/>
  <c r="I57" i="12"/>
  <c r="J57" i="12"/>
  <c r="K57" i="12"/>
  <c r="L57" i="12"/>
  <c r="M57" i="12"/>
  <c r="N57" i="12"/>
  <c r="O57" i="12"/>
  <c r="P57" i="12"/>
  <c r="Q57" i="12"/>
  <c r="R57" i="12"/>
  <c r="H58" i="12"/>
  <c r="I58" i="12"/>
  <c r="J58" i="12"/>
  <c r="K58" i="12"/>
  <c r="L58" i="12"/>
  <c r="M58" i="12"/>
  <c r="N58" i="12"/>
  <c r="O58" i="12"/>
  <c r="P58" i="12"/>
  <c r="Q58" i="12"/>
  <c r="R58" i="12"/>
  <c r="H59" i="12"/>
  <c r="I59" i="12"/>
  <c r="J59" i="12"/>
  <c r="K59" i="12"/>
  <c r="L59" i="12"/>
  <c r="M59" i="12"/>
  <c r="N59" i="12"/>
  <c r="O59" i="12"/>
  <c r="P59" i="12"/>
  <c r="Q59" i="12"/>
  <c r="R59" i="12"/>
  <c r="H60" i="12"/>
  <c r="I60" i="12"/>
  <c r="J60" i="12"/>
  <c r="K60" i="12"/>
  <c r="L60" i="12"/>
  <c r="M60" i="12"/>
  <c r="N60" i="12"/>
  <c r="O60" i="12"/>
  <c r="P60" i="12"/>
  <c r="Q60" i="12"/>
  <c r="R60" i="12"/>
  <c r="H61" i="12"/>
  <c r="I61" i="12"/>
  <c r="J61" i="12"/>
  <c r="K61" i="12"/>
  <c r="L61" i="12"/>
  <c r="M61" i="12"/>
  <c r="N61" i="12"/>
  <c r="O61" i="12"/>
  <c r="P61" i="12"/>
  <c r="Q61" i="12"/>
  <c r="R61" i="12"/>
  <c r="H62" i="12"/>
  <c r="I62" i="12"/>
  <c r="J62" i="12"/>
  <c r="K62" i="12"/>
  <c r="L62" i="12"/>
  <c r="M62" i="12"/>
  <c r="N62" i="12"/>
  <c r="O62" i="12"/>
  <c r="P62" i="12"/>
  <c r="Q62" i="12"/>
  <c r="R62" i="12"/>
  <c r="H63" i="12"/>
  <c r="I63" i="12"/>
  <c r="J63" i="12"/>
  <c r="K63" i="12"/>
  <c r="L63" i="12"/>
  <c r="M63" i="12"/>
  <c r="N63" i="12"/>
  <c r="O63" i="12"/>
  <c r="P63" i="12"/>
  <c r="Q63" i="12"/>
  <c r="R63" i="12"/>
  <c r="H64" i="12"/>
  <c r="I64" i="12"/>
  <c r="J64" i="12"/>
  <c r="K64" i="12"/>
  <c r="L64" i="12"/>
  <c r="M64" i="12"/>
  <c r="N64" i="12"/>
  <c r="O64" i="12"/>
  <c r="P64" i="12"/>
  <c r="Q64" i="12"/>
  <c r="R64" i="12"/>
  <c r="H65" i="12"/>
  <c r="I65" i="12"/>
  <c r="J65" i="12"/>
  <c r="K65" i="12"/>
  <c r="L65" i="12"/>
  <c r="M65" i="12"/>
  <c r="N65" i="12"/>
  <c r="O65" i="12"/>
  <c r="P65" i="12"/>
  <c r="Q65" i="12"/>
  <c r="R65" i="12"/>
  <c r="H66" i="12"/>
  <c r="I66" i="12"/>
  <c r="J66" i="12"/>
  <c r="K66" i="12"/>
  <c r="L66" i="12"/>
  <c r="M66" i="12"/>
  <c r="N66" i="12"/>
  <c r="O66" i="12"/>
  <c r="P66" i="12"/>
  <c r="Q66" i="12"/>
  <c r="R66" i="12"/>
  <c r="H67" i="12"/>
  <c r="I67" i="12"/>
  <c r="J67" i="12"/>
  <c r="K67" i="12"/>
  <c r="L67" i="12"/>
  <c r="M67" i="12"/>
  <c r="N67" i="12"/>
  <c r="O67" i="12"/>
  <c r="P67" i="12"/>
  <c r="Q67" i="12"/>
  <c r="R67" i="12"/>
  <c r="H68" i="12"/>
  <c r="I68" i="12"/>
  <c r="J68" i="12"/>
  <c r="K68" i="12"/>
  <c r="L68" i="12"/>
  <c r="M68" i="12"/>
  <c r="N68" i="12"/>
  <c r="O68" i="12"/>
  <c r="P68" i="12"/>
  <c r="Q68" i="12"/>
  <c r="R68" i="12"/>
  <c r="H69" i="12"/>
  <c r="I69" i="12"/>
  <c r="J69" i="12"/>
  <c r="K69" i="12"/>
  <c r="L69" i="12"/>
  <c r="M69" i="12"/>
  <c r="N69" i="12"/>
  <c r="O69" i="12"/>
  <c r="P69" i="12"/>
  <c r="Q69" i="12"/>
  <c r="R69" i="12"/>
  <c r="H70" i="12"/>
  <c r="I70" i="12"/>
  <c r="J70" i="12"/>
  <c r="K70" i="12"/>
  <c r="L70" i="12"/>
  <c r="M70" i="12"/>
  <c r="N70" i="12"/>
  <c r="O70" i="12"/>
  <c r="P70" i="12"/>
  <c r="Q70" i="12"/>
  <c r="R70" i="12"/>
  <c r="H71" i="12"/>
  <c r="I71" i="12"/>
  <c r="J71" i="12"/>
  <c r="K71" i="12"/>
  <c r="L71" i="12"/>
  <c r="M71" i="12"/>
  <c r="N71" i="12"/>
  <c r="O71" i="12"/>
  <c r="P71" i="12"/>
  <c r="Q71" i="12"/>
  <c r="R71" i="12"/>
  <c r="H72" i="12"/>
  <c r="I72" i="12"/>
  <c r="J72" i="12"/>
  <c r="K72" i="12"/>
  <c r="L72" i="12"/>
  <c r="M72" i="12"/>
  <c r="N72" i="12"/>
  <c r="O72" i="12"/>
  <c r="P72" i="12"/>
  <c r="Q72" i="12"/>
  <c r="R72" i="12"/>
  <c r="H73" i="12"/>
  <c r="I73" i="12"/>
  <c r="J73" i="12"/>
  <c r="K73" i="12"/>
  <c r="L73" i="12"/>
  <c r="M73" i="12"/>
  <c r="N73" i="12"/>
  <c r="O73" i="12"/>
  <c r="P73" i="12"/>
  <c r="Q73" i="12"/>
  <c r="R7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44" i="12"/>
  <c r="C45" i="12"/>
  <c r="C46" i="12"/>
  <c r="C47" i="12"/>
  <c r="C48" i="12"/>
  <c r="C49" i="12"/>
  <c r="S42" i="12"/>
  <c r="R42" i="12"/>
  <c r="Q42" i="12"/>
  <c r="P42" i="12"/>
  <c r="G43" i="12"/>
  <c r="G42" i="12"/>
  <c r="H42" i="12"/>
  <c r="I42" i="12"/>
  <c r="J42" i="12"/>
  <c r="K42" i="12"/>
  <c r="O42" i="12"/>
  <c r="S78" i="12" l="1"/>
  <c r="Y27" i="10"/>
  <c r="Y26" i="10"/>
  <c r="T27" i="12"/>
  <c r="T26" i="12"/>
  <c r="O16" i="12"/>
  <c r="P16" i="12"/>
  <c r="Q16" i="12"/>
  <c r="R16" i="12"/>
  <c r="S16" i="12"/>
  <c r="O17" i="12"/>
  <c r="P17" i="12"/>
  <c r="Q17" i="12"/>
  <c r="R17" i="12"/>
  <c r="S17" i="12"/>
  <c r="O18" i="12"/>
  <c r="P18" i="12"/>
  <c r="Q18" i="12"/>
  <c r="R18" i="12"/>
  <c r="S18" i="12"/>
  <c r="O19" i="12"/>
  <c r="P19" i="12"/>
  <c r="Q19" i="12"/>
  <c r="R19" i="12"/>
  <c r="S19" i="12"/>
  <c r="O20" i="12"/>
  <c r="P20" i="12"/>
  <c r="Q20" i="12"/>
  <c r="R20" i="12"/>
  <c r="S20" i="12"/>
  <c r="O21" i="12"/>
  <c r="P21" i="12"/>
  <c r="Q21" i="12"/>
  <c r="R21" i="12"/>
  <c r="S21" i="12"/>
  <c r="O22" i="12"/>
  <c r="P22" i="12"/>
  <c r="Q22" i="12"/>
  <c r="R22" i="12"/>
  <c r="S22" i="12"/>
  <c r="O23" i="12"/>
  <c r="P23" i="12"/>
  <c r="Q23" i="12"/>
  <c r="R23" i="12"/>
  <c r="S23" i="12"/>
  <c r="O24" i="12"/>
  <c r="P24" i="12"/>
  <c r="Q24" i="12"/>
  <c r="R24" i="12"/>
  <c r="S24" i="12"/>
  <c r="O25" i="12"/>
  <c r="P25" i="12"/>
  <c r="Q25" i="12"/>
  <c r="R25" i="12"/>
  <c r="S25" i="12"/>
  <c r="F77" i="12"/>
  <c r="D77" i="12"/>
  <c r="C77" i="12"/>
  <c r="F76" i="12"/>
  <c r="D76" i="12"/>
  <c r="F43" i="12"/>
  <c r="D43" i="12"/>
  <c r="C43" i="12"/>
  <c r="N42" i="12"/>
  <c r="M42" i="12"/>
  <c r="L42" i="12"/>
  <c r="N25" i="12"/>
  <c r="M25" i="12"/>
  <c r="L25" i="12"/>
  <c r="K25" i="12"/>
  <c r="J25" i="12"/>
  <c r="I25" i="12"/>
  <c r="H25" i="12"/>
  <c r="G25" i="12"/>
  <c r="N24" i="12"/>
  <c r="M24" i="12"/>
  <c r="L24" i="12"/>
  <c r="K24" i="12"/>
  <c r="J24" i="12"/>
  <c r="I24" i="12"/>
  <c r="H24" i="12"/>
  <c r="G24" i="12"/>
  <c r="N23" i="12"/>
  <c r="M23" i="12"/>
  <c r="L23" i="12"/>
  <c r="K23" i="12"/>
  <c r="J23" i="12"/>
  <c r="I23" i="12"/>
  <c r="H23" i="12"/>
  <c r="G23" i="12"/>
  <c r="N22" i="12"/>
  <c r="M22" i="12"/>
  <c r="L22" i="12"/>
  <c r="K22" i="12"/>
  <c r="J22" i="12"/>
  <c r="I22" i="12"/>
  <c r="H22" i="12"/>
  <c r="G22" i="12"/>
  <c r="N21" i="12"/>
  <c r="M21" i="12"/>
  <c r="L21" i="12"/>
  <c r="K21" i="12"/>
  <c r="J21" i="12"/>
  <c r="I21" i="12"/>
  <c r="H21" i="12"/>
  <c r="G21" i="12"/>
  <c r="N20" i="12"/>
  <c r="M20" i="12"/>
  <c r="L20" i="12"/>
  <c r="K20" i="12"/>
  <c r="J20" i="12"/>
  <c r="I20" i="12"/>
  <c r="H20" i="12"/>
  <c r="G20" i="12"/>
  <c r="N19" i="12"/>
  <c r="M19" i="12"/>
  <c r="L19" i="12"/>
  <c r="K19" i="12"/>
  <c r="J19" i="12"/>
  <c r="I19" i="12"/>
  <c r="H19" i="12"/>
  <c r="G19" i="12"/>
  <c r="N18" i="12"/>
  <c r="M18" i="12"/>
  <c r="L18" i="12"/>
  <c r="K18" i="12"/>
  <c r="J18" i="12"/>
  <c r="I18" i="12"/>
  <c r="H18" i="12"/>
  <c r="G18" i="12"/>
  <c r="N17" i="12"/>
  <c r="M17" i="12"/>
  <c r="L17" i="12"/>
  <c r="K17" i="12"/>
  <c r="J17" i="12"/>
  <c r="I17" i="12"/>
  <c r="H17" i="12"/>
  <c r="G17" i="12"/>
  <c r="N16" i="12"/>
  <c r="M16" i="12"/>
  <c r="L16" i="12"/>
  <c r="K16" i="12"/>
  <c r="J16" i="12"/>
  <c r="I16" i="12"/>
  <c r="H16" i="12"/>
  <c r="G16" i="12"/>
  <c r="X44" i="10"/>
  <c r="X45" i="10"/>
  <c r="X46" i="10"/>
  <c r="X48" i="10"/>
  <c r="X50" i="10"/>
  <c r="X51" i="10"/>
  <c r="X52" i="10"/>
  <c r="X53" i="10"/>
  <c r="X54" i="10"/>
  <c r="X55" i="10"/>
  <c r="X56" i="10"/>
  <c r="X57" i="10"/>
  <c r="X58" i="10"/>
  <c r="X59" i="10"/>
  <c r="X61" i="10"/>
  <c r="X62" i="10"/>
  <c r="X63" i="10"/>
  <c r="X64" i="10"/>
  <c r="X65" i="10"/>
  <c r="X66" i="10"/>
  <c r="X67" i="10"/>
  <c r="X43" i="10"/>
  <c r="W44" i="10"/>
  <c r="W45" i="10"/>
  <c r="W46" i="10"/>
  <c r="W47" i="10"/>
  <c r="W48" i="10"/>
  <c r="W51" i="10"/>
  <c r="W52" i="10"/>
  <c r="W55" i="10"/>
  <c r="W56" i="10"/>
  <c r="W57" i="10"/>
  <c r="W58" i="10"/>
  <c r="W59" i="10"/>
  <c r="W60" i="10"/>
  <c r="W63" i="10"/>
  <c r="W64" i="10"/>
  <c r="W65" i="10"/>
  <c r="W66" i="10"/>
  <c r="W67" i="10"/>
  <c r="W43" i="10"/>
  <c r="V44" i="10"/>
  <c r="V45" i="10"/>
  <c r="V46" i="10"/>
  <c r="V48" i="10"/>
  <c r="V49" i="10"/>
  <c r="V51" i="10"/>
  <c r="V52" i="10"/>
  <c r="V55" i="10"/>
  <c r="V56" i="10"/>
  <c r="V57" i="10"/>
  <c r="V58" i="10"/>
  <c r="V59" i="10"/>
  <c r="V62" i="10"/>
  <c r="V63" i="10"/>
  <c r="V64" i="10"/>
  <c r="V65" i="10"/>
  <c r="V66" i="10"/>
  <c r="V67" i="10"/>
  <c r="V43" i="10"/>
  <c r="U44" i="10"/>
  <c r="U45" i="10"/>
  <c r="U46" i="10"/>
  <c r="U48" i="10"/>
  <c r="U51" i="10"/>
  <c r="U52" i="10"/>
  <c r="U56" i="10"/>
  <c r="U57" i="10"/>
  <c r="U59" i="10"/>
  <c r="U60" i="10"/>
  <c r="U62" i="10"/>
  <c r="U63" i="10"/>
  <c r="U64" i="10"/>
  <c r="U65" i="10"/>
  <c r="U66" i="10"/>
  <c r="U67" i="10"/>
  <c r="U43" i="10"/>
  <c r="T44" i="10"/>
  <c r="T45" i="10"/>
  <c r="T46" i="10"/>
  <c r="T47" i="10"/>
  <c r="T48" i="10"/>
  <c r="T51" i="10"/>
  <c r="T52" i="10"/>
  <c r="T55" i="10"/>
  <c r="T56" i="10"/>
  <c r="T57" i="10"/>
  <c r="T58" i="10"/>
  <c r="T59" i="10"/>
  <c r="T60" i="10"/>
  <c r="T62" i="10"/>
  <c r="T63" i="10"/>
  <c r="T64" i="10"/>
  <c r="T65" i="10"/>
  <c r="T66" i="10"/>
  <c r="T67" i="10"/>
  <c r="T43" i="10"/>
  <c r="S44" i="10"/>
  <c r="S45" i="10"/>
  <c r="S46" i="10"/>
  <c r="S47" i="10"/>
  <c r="S48" i="10"/>
  <c r="S50" i="10"/>
  <c r="S52" i="10"/>
  <c r="S53" i="10"/>
  <c r="S56" i="10"/>
  <c r="S57" i="10"/>
  <c r="S59" i="10"/>
  <c r="S60" i="10"/>
  <c r="S62" i="10"/>
  <c r="S63" i="10"/>
  <c r="S64" i="10"/>
  <c r="S65" i="10"/>
  <c r="S66" i="10"/>
  <c r="S67" i="10"/>
  <c r="S43" i="10"/>
  <c r="R44" i="10"/>
  <c r="R45" i="10"/>
  <c r="R46" i="10"/>
  <c r="R47" i="10"/>
  <c r="R48" i="10"/>
  <c r="R49" i="10"/>
  <c r="R50" i="10"/>
  <c r="R52" i="10"/>
  <c r="R54" i="10"/>
  <c r="R55" i="10"/>
  <c r="R56" i="10"/>
  <c r="R57" i="10"/>
  <c r="R58" i="10"/>
  <c r="R59" i="10"/>
  <c r="R61" i="10"/>
  <c r="R62" i="10"/>
  <c r="R63" i="10"/>
  <c r="R64" i="10"/>
  <c r="R65" i="10"/>
  <c r="R66" i="10"/>
  <c r="R67" i="10"/>
  <c r="R43" i="10"/>
  <c r="Q44" i="10"/>
  <c r="Q45" i="10"/>
  <c r="Q46" i="10"/>
  <c r="Q47" i="10"/>
  <c r="Q48" i="10"/>
  <c r="Q49" i="10"/>
  <c r="Q50" i="10"/>
  <c r="Q55" i="10"/>
  <c r="Q56" i="10"/>
  <c r="Q57" i="10"/>
  <c r="Q58" i="10"/>
  <c r="Q59" i="10"/>
  <c r="Q61" i="10"/>
  <c r="Q62" i="10"/>
  <c r="Q63" i="10"/>
  <c r="Q64" i="10"/>
  <c r="Q65" i="10"/>
  <c r="Q66" i="10"/>
  <c r="Q67" i="10"/>
  <c r="P44" i="10"/>
  <c r="P45" i="10"/>
  <c r="P46" i="10"/>
  <c r="P47" i="10"/>
  <c r="P48" i="10"/>
  <c r="P49" i="10"/>
  <c r="P50" i="10"/>
  <c r="P52" i="10"/>
  <c r="P56" i="10"/>
  <c r="P57" i="10"/>
  <c r="P58" i="10"/>
  <c r="P59" i="10"/>
  <c r="P61" i="10"/>
  <c r="P62" i="10"/>
  <c r="P63" i="10"/>
  <c r="P64" i="10"/>
  <c r="P65" i="10"/>
  <c r="P66" i="10"/>
  <c r="P67" i="10"/>
  <c r="O44" i="10"/>
  <c r="O45" i="10"/>
  <c r="O46" i="10"/>
  <c r="O47" i="10"/>
  <c r="O50" i="10"/>
  <c r="O51" i="10"/>
  <c r="O52" i="10"/>
  <c r="O53" i="10"/>
  <c r="O55" i="10"/>
  <c r="O56" i="10"/>
  <c r="O57" i="10"/>
  <c r="O58" i="10"/>
  <c r="O59" i="10"/>
  <c r="O61" i="10"/>
  <c r="O62" i="10"/>
  <c r="O63" i="10"/>
  <c r="O64" i="10"/>
  <c r="O65" i="10"/>
  <c r="O66" i="10"/>
  <c r="O67" i="10"/>
  <c r="N44" i="10"/>
  <c r="N45" i="10"/>
  <c r="N46" i="10"/>
  <c r="N47" i="10"/>
  <c r="N50" i="10"/>
  <c r="N52" i="10"/>
  <c r="N55" i="10"/>
  <c r="N56" i="10"/>
  <c r="N57" i="10"/>
  <c r="N61" i="10"/>
  <c r="N62" i="10"/>
  <c r="N63" i="10"/>
  <c r="N64" i="10"/>
  <c r="N65" i="10"/>
  <c r="N66" i="10"/>
  <c r="N67" i="10"/>
  <c r="M44" i="10"/>
  <c r="M45" i="10"/>
  <c r="M46" i="10"/>
  <c r="M47" i="10"/>
  <c r="M51" i="10"/>
  <c r="M52" i="10"/>
  <c r="M53" i="10"/>
  <c r="M55" i="10"/>
  <c r="M56" i="10"/>
  <c r="M57" i="10"/>
  <c r="M58" i="10"/>
  <c r="M59" i="10"/>
  <c r="M61" i="10"/>
  <c r="M62" i="10"/>
  <c r="M63" i="10"/>
  <c r="M64" i="10"/>
  <c r="M65" i="10"/>
  <c r="M66" i="10"/>
  <c r="M67" i="10"/>
  <c r="L44" i="10"/>
  <c r="L45" i="10"/>
  <c r="L46" i="10"/>
  <c r="L47" i="10"/>
  <c r="L48" i="10"/>
  <c r="L49" i="10"/>
  <c r="L50" i="10"/>
  <c r="L51" i="10"/>
  <c r="L52" i="10"/>
  <c r="L53" i="10"/>
  <c r="L56" i="10"/>
  <c r="L57" i="10"/>
  <c r="L58" i="10"/>
  <c r="L59" i="10"/>
  <c r="L61" i="10"/>
  <c r="L62" i="10"/>
  <c r="L63" i="10"/>
  <c r="L64" i="10"/>
  <c r="L65" i="10"/>
  <c r="L66" i="10"/>
  <c r="L67" i="10"/>
  <c r="K47" i="10"/>
  <c r="K49" i="10"/>
  <c r="K52" i="10"/>
  <c r="K53" i="10"/>
  <c r="K56" i="10"/>
  <c r="K57" i="10"/>
  <c r="K58" i="10"/>
  <c r="K59" i="10"/>
  <c r="K61" i="10"/>
  <c r="K62" i="10"/>
  <c r="K63" i="10"/>
  <c r="K64" i="10"/>
  <c r="K65" i="10"/>
  <c r="K66" i="10"/>
  <c r="K67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C48" i="10"/>
  <c r="N48" i="10" s="1"/>
  <c r="C49" i="10"/>
  <c r="U49" i="10" s="1"/>
  <c r="C50" i="10"/>
  <c r="K50" i="10" s="1"/>
  <c r="C51" i="10"/>
  <c r="N51" i="10" s="1"/>
  <c r="C52" i="10"/>
  <c r="Q52" i="10" s="1"/>
  <c r="C53" i="10"/>
  <c r="N53" i="10" s="1"/>
  <c r="C54" i="10"/>
  <c r="Q54" i="10" s="1"/>
  <c r="C55" i="10"/>
  <c r="P55" i="10" s="1"/>
  <c r="C56" i="10"/>
  <c r="C57" i="10"/>
  <c r="C58" i="10"/>
  <c r="N58" i="10" s="1"/>
  <c r="C59" i="10"/>
  <c r="N59" i="10" s="1"/>
  <c r="C60" i="10"/>
  <c r="R60" i="10" s="1"/>
  <c r="C61" i="10"/>
  <c r="U61" i="10" s="1"/>
  <c r="C62" i="10"/>
  <c r="W62" i="10" s="1"/>
  <c r="C63" i="10"/>
  <c r="C64" i="10"/>
  <c r="C65" i="10"/>
  <c r="C66" i="10"/>
  <c r="C67" i="10"/>
  <c r="J62" i="10"/>
  <c r="I62" i="10"/>
  <c r="H62" i="10"/>
  <c r="G62" i="10"/>
  <c r="J63" i="10"/>
  <c r="I63" i="10"/>
  <c r="H63" i="10"/>
  <c r="G63" i="10"/>
  <c r="J64" i="10"/>
  <c r="I64" i="10"/>
  <c r="H64" i="10"/>
  <c r="G64" i="10"/>
  <c r="J65" i="10"/>
  <c r="I65" i="10"/>
  <c r="H65" i="10"/>
  <c r="G65" i="10"/>
  <c r="J66" i="10"/>
  <c r="I66" i="10"/>
  <c r="H66" i="10"/>
  <c r="G66" i="10"/>
  <c r="C44" i="10"/>
  <c r="K44" i="10" s="1"/>
  <c r="C45" i="10"/>
  <c r="K45" i="10" s="1"/>
  <c r="C46" i="10"/>
  <c r="K46" i="10" s="1"/>
  <c r="C47" i="10"/>
  <c r="U47" i="10" s="1"/>
  <c r="J60" i="10"/>
  <c r="I60" i="10"/>
  <c r="H60" i="10"/>
  <c r="G60" i="10"/>
  <c r="J61" i="10"/>
  <c r="I61" i="10"/>
  <c r="H61" i="10"/>
  <c r="G61" i="10"/>
  <c r="J67" i="10"/>
  <c r="I67" i="10"/>
  <c r="H67" i="10"/>
  <c r="G67" i="10"/>
  <c r="J59" i="10"/>
  <c r="I59" i="10"/>
  <c r="H59" i="10"/>
  <c r="G59" i="10"/>
  <c r="K43" i="10"/>
  <c r="V16" i="10"/>
  <c r="W16" i="10"/>
  <c r="X16" i="10"/>
  <c r="V17" i="10"/>
  <c r="W17" i="10"/>
  <c r="X17" i="10"/>
  <c r="V18" i="10"/>
  <c r="W18" i="10"/>
  <c r="X18" i="10"/>
  <c r="V19" i="10"/>
  <c r="W19" i="10"/>
  <c r="X19" i="10"/>
  <c r="V20" i="10"/>
  <c r="W20" i="10"/>
  <c r="X20" i="10"/>
  <c r="V21" i="10"/>
  <c r="W21" i="10"/>
  <c r="X21" i="10"/>
  <c r="V22" i="10"/>
  <c r="W22" i="10"/>
  <c r="X22" i="10"/>
  <c r="V23" i="10"/>
  <c r="W23" i="10"/>
  <c r="X23" i="10"/>
  <c r="V24" i="10"/>
  <c r="W24" i="10"/>
  <c r="X24" i="10"/>
  <c r="V25" i="10"/>
  <c r="W25" i="10"/>
  <c r="X25" i="10"/>
  <c r="U17" i="10"/>
  <c r="U18" i="10"/>
  <c r="U19" i="10"/>
  <c r="U20" i="10"/>
  <c r="U21" i="10"/>
  <c r="U22" i="10"/>
  <c r="U23" i="10"/>
  <c r="U24" i="10"/>
  <c r="U25" i="10"/>
  <c r="U16" i="10"/>
  <c r="T17" i="10"/>
  <c r="T18" i="10"/>
  <c r="T19" i="10"/>
  <c r="T20" i="10"/>
  <c r="T21" i="10"/>
  <c r="T22" i="10"/>
  <c r="T23" i="10"/>
  <c r="T24" i="10"/>
  <c r="T25" i="10"/>
  <c r="T16" i="10"/>
  <c r="S17" i="10"/>
  <c r="S18" i="10"/>
  <c r="S19" i="10"/>
  <c r="S20" i="10"/>
  <c r="S21" i="10"/>
  <c r="S22" i="10"/>
  <c r="S23" i="10"/>
  <c r="S24" i="10"/>
  <c r="S25" i="10"/>
  <c r="S16" i="10"/>
  <c r="R17" i="10"/>
  <c r="R18" i="10"/>
  <c r="R19" i="10"/>
  <c r="R20" i="10"/>
  <c r="R21" i="10"/>
  <c r="R22" i="10"/>
  <c r="R23" i="10"/>
  <c r="R24" i="10"/>
  <c r="R25" i="10"/>
  <c r="R16" i="10"/>
  <c r="Q17" i="10"/>
  <c r="Q18" i="10"/>
  <c r="Q19" i="10"/>
  <c r="Q20" i="10"/>
  <c r="Q21" i="10"/>
  <c r="Q22" i="10"/>
  <c r="Q23" i="10"/>
  <c r="Q24" i="10"/>
  <c r="Q25" i="10"/>
  <c r="Q16" i="10"/>
  <c r="P17" i="10"/>
  <c r="P18" i="10"/>
  <c r="P19" i="10"/>
  <c r="P20" i="10"/>
  <c r="P21" i="10"/>
  <c r="P22" i="10"/>
  <c r="P23" i="10"/>
  <c r="P24" i="10"/>
  <c r="P25" i="10"/>
  <c r="P16" i="10"/>
  <c r="V42" i="10"/>
  <c r="W42" i="10"/>
  <c r="S42" i="10"/>
  <c r="T42" i="10"/>
  <c r="U42" i="10"/>
  <c r="J58" i="11"/>
  <c r="I58" i="11"/>
  <c r="H58" i="11"/>
  <c r="G58" i="11"/>
  <c r="F58" i="11"/>
  <c r="D58" i="11"/>
  <c r="C58" i="11"/>
  <c r="P58" i="11" s="1"/>
  <c r="S57" i="11"/>
  <c r="R57" i="11"/>
  <c r="Q57" i="11"/>
  <c r="P57" i="11"/>
  <c r="O57" i="11"/>
  <c r="M57" i="11"/>
  <c r="L57" i="11"/>
  <c r="K57" i="11"/>
  <c r="J57" i="11"/>
  <c r="I57" i="11"/>
  <c r="H57" i="11"/>
  <c r="G57" i="11"/>
  <c r="F57" i="11"/>
  <c r="D57" i="11"/>
  <c r="C57" i="11"/>
  <c r="N57" i="11" s="1"/>
  <c r="S56" i="11"/>
  <c r="R56" i="11"/>
  <c r="Q56" i="11"/>
  <c r="P56" i="11"/>
  <c r="O56" i="11"/>
  <c r="M56" i="11"/>
  <c r="L56" i="11"/>
  <c r="K56" i="11"/>
  <c r="J56" i="11"/>
  <c r="I56" i="11"/>
  <c r="H56" i="11"/>
  <c r="G56" i="11"/>
  <c r="F56" i="11"/>
  <c r="D56" i="11"/>
  <c r="C56" i="11"/>
  <c r="N56" i="11" s="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D55" i="11"/>
  <c r="C55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D54" i="11"/>
  <c r="C54" i="11"/>
  <c r="S53" i="11"/>
  <c r="R53" i="11"/>
  <c r="Q53" i="11"/>
  <c r="O53" i="11"/>
  <c r="N53" i="11"/>
  <c r="M53" i="11"/>
  <c r="J53" i="11"/>
  <c r="I53" i="11"/>
  <c r="H53" i="11"/>
  <c r="G53" i="11"/>
  <c r="F53" i="11"/>
  <c r="D53" i="11"/>
  <c r="C53" i="11"/>
  <c r="P53" i="11" s="1"/>
  <c r="S52" i="11"/>
  <c r="J52" i="11"/>
  <c r="I52" i="11"/>
  <c r="H52" i="11"/>
  <c r="G52" i="11"/>
  <c r="F52" i="11"/>
  <c r="D52" i="11"/>
  <c r="C52" i="11"/>
  <c r="P52" i="11" s="1"/>
  <c r="O51" i="11"/>
  <c r="M51" i="11"/>
  <c r="L51" i="11"/>
  <c r="K51" i="11"/>
  <c r="J51" i="11"/>
  <c r="I51" i="11"/>
  <c r="H51" i="11"/>
  <c r="G51" i="11"/>
  <c r="F51" i="11"/>
  <c r="D51" i="11"/>
  <c r="C51" i="11"/>
  <c r="P51" i="11" s="1"/>
  <c r="O50" i="11"/>
  <c r="M50" i="11"/>
  <c r="L50" i="11"/>
  <c r="J50" i="11"/>
  <c r="I50" i="11"/>
  <c r="H50" i="11"/>
  <c r="G50" i="11"/>
  <c r="F50" i="11"/>
  <c r="D50" i="11"/>
  <c r="C50" i="11"/>
  <c r="P50" i="11" s="1"/>
  <c r="S49" i="11"/>
  <c r="R49" i="11"/>
  <c r="Q49" i="11"/>
  <c r="P49" i="11"/>
  <c r="O49" i="11"/>
  <c r="N49" i="11"/>
  <c r="L49" i="11"/>
  <c r="I49" i="11"/>
  <c r="H49" i="11"/>
  <c r="F49" i="11"/>
  <c r="D49" i="11"/>
  <c r="C49" i="11"/>
  <c r="G49" i="11" s="1"/>
  <c r="S48" i="11"/>
  <c r="R48" i="11"/>
  <c r="Q48" i="11"/>
  <c r="P48" i="11"/>
  <c r="L48" i="11"/>
  <c r="J48" i="11"/>
  <c r="I48" i="11"/>
  <c r="H48" i="11"/>
  <c r="G48" i="11"/>
  <c r="F48" i="11"/>
  <c r="D48" i="11"/>
  <c r="C48" i="11"/>
  <c r="O48" i="11" s="1"/>
  <c r="S47" i="11"/>
  <c r="R47" i="11"/>
  <c r="Q47" i="11"/>
  <c r="P47" i="11"/>
  <c r="L47" i="11"/>
  <c r="J47" i="11"/>
  <c r="I47" i="11"/>
  <c r="H47" i="11"/>
  <c r="G47" i="11"/>
  <c r="F47" i="11"/>
  <c r="D47" i="11"/>
  <c r="C47" i="11"/>
  <c r="O47" i="11" s="1"/>
  <c r="S46" i="11"/>
  <c r="R46" i="11"/>
  <c r="Q46" i="11"/>
  <c r="P46" i="11"/>
  <c r="O46" i="11"/>
  <c r="N46" i="11"/>
  <c r="M46" i="11"/>
  <c r="L46" i="11"/>
  <c r="J46" i="11"/>
  <c r="I46" i="11"/>
  <c r="H46" i="11"/>
  <c r="G46" i="11"/>
  <c r="F46" i="11"/>
  <c r="D46" i="11"/>
  <c r="C46" i="11"/>
  <c r="K46" i="11" s="1"/>
  <c r="S45" i="11"/>
  <c r="R45" i="11"/>
  <c r="Q45" i="11"/>
  <c r="P45" i="11"/>
  <c r="O45" i="11"/>
  <c r="N45" i="11"/>
  <c r="M45" i="11"/>
  <c r="L45" i="11"/>
  <c r="J45" i="11"/>
  <c r="I45" i="11"/>
  <c r="H45" i="11"/>
  <c r="G45" i="11"/>
  <c r="F45" i="11"/>
  <c r="D45" i="11"/>
  <c r="C45" i="11"/>
  <c r="K45" i="11" s="1"/>
  <c r="S44" i="11"/>
  <c r="R44" i="11"/>
  <c r="Q44" i="11"/>
  <c r="P44" i="11"/>
  <c r="O44" i="11"/>
  <c r="N44" i="11"/>
  <c r="M44" i="11"/>
  <c r="L44" i="11"/>
  <c r="J44" i="11"/>
  <c r="I44" i="11"/>
  <c r="H44" i="11"/>
  <c r="G44" i="11"/>
  <c r="F44" i="11"/>
  <c r="D44" i="11"/>
  <c r="C44" i="11"/>
  <c r="K44" i="11" s="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D43" i="11"/>
  <c r="C43" i="11"/>
  <c r="S42" i="11"/>
  <c r="R42" i="11"/>
  <c r="Q42" i="11"/>
  <c r="P42" i="11"/>
  <c r="O42" i="11"/>
  <c r="N42" i="11"/>
  <c r="M42" i="11"/>
  <c r="L42" i="11"/>
  <c r="K42" i="11"/>
  <c r="T27" i="11"/>
  <c r="T26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S14" i="11"/>
  <c r="S15" i="11" s="1"/>
  <c r="R14" i="11"/>
  <c r="R28" i="11" s="1"/>
  <c r="Q14" i="11"/>
  <c r="Q28" i="11" s="1"/>
  <c r="P14" i="11"/>
  <c r="P28" i="11" s="1"/>
  <c r="O14" i="11"/>
  <c r="O28" i="11" s="1"/>
  <c r="N14" i="11"/>
  <c r="N15" i="11" s="1"/>
  <c r="M14" i="11"/>
  <c r="L14" i="11"/>
  <c r="L15" i="11" s="1"/>
  <c r="K14" i="11"/>
  <c r="K15" i="11" s="1"/>
  <c r="J14" i="11"/>
  <c r="J28" i="11" s="1"/>
  <c r="I14" i="11"/>
  <c r="I28" i="11" s="1"/>
  <c r="H14" i="11"/>
  <c r="H28" i="11" s="1"/>
  <c r="G14" i="11"/>
  <c r="G28" i="11" s="1"/>
  <c r="J58" i="10"/>
  <c r="I58" i="10"/>
  <c r="H58" i="10"/>
  <c r="G58" i="10"/>
  <c r="J57" i="10"/>
  <c r="I57" i="10"/>
  <c r="H57" i="10"/>
  <c r="G57" i="10"/>
  <c r="J56" i="10"/>
  <c r="I56" i="10"/>
  <c r="H56" i="10"/>
  <c r="G56" i="10"/>
  <c r="J55" i="10"/>
  <c r="I55" i="10"/>
  <c r="H55" i="10"/>
  <c r="G55" i="10"/>
  <c r="J54" i="10"/>
  <c r="I54" i="10"/>
  <c r="H54" i="10"/>
  <c r="G54" i="10"/>
  <c r="J53" i="10"/>
  <c r="I53" i="10"/>
  <c r="H53" i="10"/>
  <c r="G53" i="10"/>
  <c r="J52" i="10"/>
  <c r="I52" i="10"/>
  <c r="H52" i="10"/>
  <c r="G52" i="10"/>
  <c r="J51" i="10"/>
  <c r="I51" i="10"/>
  <c r="H51" i="10"/>
  <c r="G51" i="10"/>
  <c r="J50" i="10"/>
  <c r="I50" i="10"/>
  <c r="H50" i="10"/>
  <c r="G50" i="10"/>
  <c r="I49" i="10"/>
  <c r="H49" i="10"/>
  <c r="J48" i="10"/>
  <c r="I48" i="10"/>
  <c r="H48" i="10"/>
  <c r="G48" i="10"/>
  <c r="J47" i="10"/>
  <c r="I47" i="10"/>
  <c r="H47" i="10"/>
  <c r="G47" i="10"/>
  <c r="J46" i="10"/>
  <c r="I46" i="10"/>
  <c r="H46" i="10"/>
  <c r="G46" i="10"/>
  <c r="J45" i="10"/>
  <c r="I45" i="10"/>
  <c r="H45" i="10"/>
  <c r="G45" i="10"/>
  <c r="J44" i="10"/>
  <c r="I44" i="10"/>
  <c r="H44" i="10"/>
  <c r="G44" i="10"/>
  <c r="J43" i="10"/>
  <c r="I43" i="10"/>
  <c r="H43" i="10"/>
  <c r="G43" i="10"/>
  <c r="J25" i="10"/>
  <c r="I25" i="10"/>
  <c r="H25" i="10"/>
  <c r="G25" i="10"/>
  <c r="J24" i="10"/>
  <c r="I24" i="10"/>
  <c r="H24" i="10"/>
  <c r="G24" i="10"/>
  <c r="J23" i="10"/>
  <c r="I23" i="10"/>
  <c r="H23" i="10"/>
  <c r="G23" i="10"/>
  <c r="J22" i="10"/>
  <c r="I22" i="10"/>
  <c r="H22" i="10"/>
  <c r="G22" i="10"/>
  <c r="J21" i="10"/>
  <c r="I21" i="10"/>
  <c r="H21" i="10"/>
  <c r="G21" i="10"/>
  <c r="J20" i="10"/>
  <c r="I20" i="10"/>
  <c r="H20" i="10"/>
  <c r="G20" i="10"/>
  <c r="J19" i="10"/>
  <c r="I19" i="10"/>
  <c r="H19" i="10"/>
  <c r="G19" i="10"/>
  <c r="J18" i="10"/>
  <c r="I18" i="10"/>
  <c r="H18" i="10"/>
  <c r="G18" i="10"/>
  <c r="J17" i="10"/>
  <c r="I17" i="10"/>
  <c r="H17" i="10"/>
  <c r="G17" i="10"/>
  <c r="J16" i="10"/>
  <c r="I16" i="10"/>
  <c r="H16" i="10"/>
  <c r="G16" i="10"/>
  <c r="J14" i="10"/>
  <c r="J15" i="10" s="1"/>
  <c r="I14" i="10"/>
  <c r="I15" i="10" s="1"/>
  <c r="H14" i="10"/>
  <c r="H15" i="10" s="1"/>
  <c r="G14" i="10"/>
  <c r="G28" i="10" s="1"/>
  <c r="L42" i="10"/>
  <c r="M42" i="10"/>
  <c r="N42" i="10"/>
  <c r="O42" i="10"/>
  <c r="P42" i="10"/>
  <c r="Q42" i="10"/>
  <c r="R42" i="10"/>
  <c r="X42" i="10"/>
  <c r="K42" i="10"/>
  <c r="W61" i="10" l="1"/>
  <c r="W54" i="10"/>
  <c r="W49" i="10"/>
  <c r="X49" i="10"/>
  <c r="V60" i="10"/>
  <c r="M49" i="10"/>
  <c r="S61" i="10"/>
  <c r="W53" i="10"/>
  <c r="N49" i="10"/>
  <c r="X60" i="10"/>
  <c r="V50" i="10"/>
  <c r="W50" i="10"/>
  <c r="U50" i="10"/>
  <c r="V61" i="10"/>
  <c r="S58" i="10"/>
  <c r="R53" i="10"/>
  <c r="V53" i="10"/>
  <c r="S49" i="10"/>
  <c r="U53" i="10"/>
  <c r="M50" i="10"/>
  <c r="T50" i="10"/>
  <c r="S58" i="11"/>
  <c r="K54" i="10"/>
  <c r="V54" i="10"/>
  <c r="L54" i="10"/>
  <c r="N54" i="10"/>
  <c r="M54" i="10"/>
  <c r="S54" i="10"/>
  <c r="X47" i="10"/>
  <c r="P60" i="10"/>
  <c r="Q60" i="10"/>
  <c r="S51" i="10"/>
  <c r="P53" i="10"/>
  <c r="Q53" i="10"/>
  <c r="U58" i="10"/>
  <c r="V47" i="10"/>
  <c r="O48" i="10"/>
  <c r="K60" i="10"/>
  <c r="K48" i="10"/>
  <c r="L60" i="10"/>
  <c r="M60" i="10"/>
  <c r="M48" i="10"/>
  <c r="N60" i="10"/>
  <c r="S55" i="10"/>
  <c r="P51" i="10"/>
  <c r="Q51" i="10"/>
  <c r="T54" i="10"/>
  <c r="U55" i="10"/>
  <c r="O49" i="10"/>
  <c r="R51" i="10"/>
  <c r="T53" i="10"/>
  <c r="U54" i="10"/>
  <c r="K55" i="10"/>
  <c r="L55" i="10"/>
  <c r="O60" i="10"/>
  <c r="T61" i="10"/>
  <c r="T49" i="10"/>
  <c r="K51" i="10"/>
  <c r="O54" i="10"/>
  <c r="P54" i="10"/>
  <c r="T17" i="12"/>
  <c r="T20" i="12"/>
  <c r="T23" i="12"/>
  <c r="T16" i="12"/>
  <c r="T19" i="12"/>
  <c r="T22" i="12"/>
  <c r="T25" i="12"/>
  <c r="T18" i="12"/>
  <c r="T21" i="12"/>
  <c r="T24" i="12"/>
  <c r="P14" i="12"/>
  <c r="P15" i="12" s="1"/>
  <c r="O14" i="12"/>
  <c r="O15" i="12" s="1"/>
  <c r="S14" i="12"/>
  <c r="S15" i="12" s="1"/>
  <c r="R14" i="12"/>
  <c r="R15" i="12" s="1"/>
  <c r="Q14" i="12"/>
  <c r="Q15" i="12" s="1"/>
  <c r="N14" i="12"/>
  <c r="N15" i="12" s="1"/>
  <c r="M14" i="12"/>
  <c r="M15" i="12" s="1"/>
  <c r="I14" i="12"/>
  <c r="I15" i="12" s="1"/>
  <c r="L14" i="12"/>
  <c r="L28" i="12" s="1"/>
  <c r="H14" i="12"/>
  <c r="H28" i="12" s="1"/>
  <c r="J14" i="12"/>
  <c r="J15" i="12" s="1"/>
  <c r="G14" i="12"/>
  <c r="K14" i="12"/>
  <c r="K15" i="12" s="1"/>
  <c r="S14" i="10"/>
  <c r="S15" i="10" s="1"/>
  <c r="P14" i="10"/>
  <c r="P15" i="10" s="1"/>
  <c r="T14" i="10"/>
  <c r="T15" i="10" s="1"/>
  <c r="Q14" i="10"/>
  <c r="U14" i="10"/>
  <c r="U15" i="10" s="1"/>
  <c r="R14" i="10"/>
  <c r="R15" i="10" s="1"/>
  <c r="V14" i="10"/>
  <c r="X14" i="10"/>
  <c r="X15" i="10" s="1"/>
  <c r="W14" i="10"/>
  <c r="W15" i="10" s="1"/>
  <c r="I15" i="11"/>
  <c r="O15" i="11"/>
  <c r="L28" i="11"/>
  <c r="T14" i="11"/>
  <c r="P15" i="11"/>
  <c r="Q15" i="11"/>
  <c r="S50" i="11"/>
  <c r="S51" i="11"/>
  <c r="R15" i="11"/>
  <c r="K28" i="11"/>
  <c r="G59" i="11"/>
  <c r="H59" i="11"/>
  <c r="G15" i="11"/>
  <c r="I59" i="11"/>
  <c r="H15" i="11"/>
  <c r="J15" i="11"/>
  <c r="S28" i="11"/>
  <c r="T21" i="11"/>
  <c r="T17" i="11"/>
  <c r="T25" i="11"/>
  <c r="T18" i="11"/>
  <c r="T23" i="11"/>
  <c r="T19" i="11"/>
  <c r="T22" i="11"/>
  <c r="T20" i="11"/>
  <c r="T16" i="11"/>
  <c r="T24" i="11"/>
  <c r="P59" i="11"/>
  <c r="Q50" i="11"/>
  <c r="Q51" i="11"/>
  <c r="Q52" i="11"/>
  <c r="Q58" i="11"/>
  <c r="J49" i="11"/>
  <c r="J59" i="11" s="1"/>
  <c r="R50" i="11"/>
  <c r="R51" i="11"/>
  <c r="R52" i="11"/>
  <c r="R58" i="11"/>
  <c r="M28" i="11"/>
  <c r="K47" i="11"/>
  <c r="K48" i="11"/>
  <c r="K49" i="11"/>
  <c r="K50" i="11"/>
  <c r="K52" i="11"/>
  <c r="K53" i="11"/>
  <c r="K58" i="11"/>
  <c r="N28" i="11"/>
  <c r="L52" i="11"/>
  <c r="L53" i="11"/>
  <c r="L58" i="11"/>
  <c r="M47" i="11"/>
  <c r="M48" i="11"/>
  <c r="M49" i="11"/>
  <c r="M52" i="11"/>
  <c r="M58" i="11"/>
  <c r="N47" i="11"/>
  <c r="N48" i="11"/>
  <c r="N50" i="11"/>
  <c r="N51" i="11"/>
  <c r="N52" i="11"/>
  <c r="N58" i="11"/>
  <c r="M15" i="11"/>
  <c r="O52" i="11"/>
  <c r="O58" i="11"/>
  <c r="I68" i="10"/>
  <c r="H68" i="10"/>
  <c r="G15" i="10"/>
  <c r="H28" i="10"/>
  <c r="I28" i="10"/>
  <c r="J28" i="10"/>
  <c r="M18" i="7"/>
  <c r="N18" i="7"/>
  <c r="O18" i="7"/>
  <c r="P18" i="7"/>
  <c r="Q18" i="7"/>
  <c r="M19" i="7"/>
  <c r="N19" i="7"/>
  <c r="O19" i="7"/>
  <c r="P19" i="7"/>
  <c r="Q19" i="7"/>
  <c r="M20" i="7"/>
  <c r="N20" i="7"/>
  <c r="O20" i="7"/>
  <c r="P20" i="7"/>
  <c r="Q20" i="7"/>
  <c r="M21" i="7"/>
  <c r="N21" i="7"/>
  <c r="O21" i="7"/>
  <c r="P21" i="7"/>
  <c r="Q21" i="7"/>
  <c r="M22" i="7"/>
  <c r="N22" i="7"/>
  <c r="O22" i="7"/>
  <c r="P22" i="7"/>
  <c r="Q22" i="7"/>
  <c r="M23" i="7"/>
  <c r="N23" i="7"/>
  <c r="O23" i="7"/>
  <c r="P23" i="7"/>
  <c r="Q23" i="7"/>
  <c r="M24" i="7"/>
  <c r="N24" i="7"/>
  <c r="O24" i="7"/>
  <c r="P24" i="7"/>
  <c r="Q24" i="7"/>
  <c r="M25" i="7"/>
  <c r="N25" i="7"/>
  <c r="O25" i="7"/>
  <c r="P25" i="7"/>
  <c r="Q25" i="7"/>
  <c r="M26" i="7"/>
  <c r="N26" i="7"/>
  <c r="O26" i="7"/>
  <c r="P26" i="7"/>
  <c r="Q26" i="7"/>
  <c r="M27" i="7"/>
  <c r="N27" i="7"/>
  <c r="O27" i="7"/>
  <c r="P27" i="7"/>
  <c r="Q27" i="7"/>
  <c r="L27" i="7"/>
  <c r="L26" i="7"/>
  <c r="L25" i="7"/>
  <c r="L24" i="7"/>
  <c r="L23" i="7"/>
  <c r="L22" i="7"/>
  <c r="L21" i="7"/>
  <c r="L20" i="7"/>
  <c r="L19" i="7"/>
  <c r="L18" i="7"/>
  <c r="F18" i="7"/>
  <c r="G18" i="7"/>
  <c r="H18" i="7"/>
  <c r="I18" i="7"/>
  <c r="J18" i="7"/>
  <c r="F19" i="7"/>
  <c r="G19" i="7"/>
  <c r="H19" i="7"/>
  <c r="I19" i="7"/>
  <c r="J19" i="7"/>
  <c r="F20" i="7"/>
  <c r="G20" i="7"/>
  <c r="H20" i="7"/>
  <c r="I20" i="7"/>
  <c r="J20" i="7"/>
  <c r="F21" i="7"/>
  <c r="G21" i="7"/>
  <c r="H21" i="7"/>
  <c r="I21" i="7"/>
  <c r="J21" i="7"/>
  <c r="F22" i="7"/>
  <c r="G22" i="7"/>
  <c r="H22" i="7"/>
  <c r="I22" i="7"/>
  <c r="J22" i="7"/>
  <c r="F23" i="7"/>
  <c r="G23" i="7"/>
  <c r="H23" i="7"/>
  <c r="I23" i="7"/>
  <c r="J23" i="7"/>
  <c r="F24" i="7"/>
  <c r="G24" i="7"/>
  <c r="H24" i="7"/>
  <c r="I24" i="7"/>
  <c r="J24" i="7"/>
  <c r="F25" i="7"/>
  <c r="G25" i="7"/>
  <c r="H25" i="7"/>
  <c r="I25" i="7"/>
  <c r="J25" i="7"/>
  <c r="F26" i="7"/>
  <c r="G26" i="7"/>
  <c r="H26" i="7"/>
  <c r="I26" i="7"/>
  <c r="J26" i="7"/>
  <c r="F27" i="7"/>
  <c r="G27" i="7"/>
  <c r="H27" i="7"/>
  <c r="I27" i="7"/>
  <c r="J27" i="7"/>
  <c r="E19" i="7"/>
  <c r="E20" i="7"/>
  <c r="E21" i="7"/>
  <c r="E22" i="7"/>
  <c r="E23" i="7"/>
  <c r="E24" i="7"/>
  <c r="E25" i="7"/>
  <c r="E26" i="7"/>
  <c r="E27" i="7"/>
  <c r="E18" i="7"/>
  <c r="M17" i="7"/>
  <c r="N17" i="7"/>
  <c r="O17" i="7"/>
  <c r="P17" i="7"/>
  <c r="Q17" i="7"/>
  <c r="L17" i="7"/>
  <c r="F17" i="7"/>
  <c r="G17" i="7"/>
  <c r="H17" i="7"/>
  <c r="I17" i="7"/>
  <c r="J17" i="7"/>
  <c r="E17" i="7"/>
  <c r="F15" i="8"/>
  <c r="G15" i="8"/>
  <c r="H15" i="8"/>
  <c r="I15" i="8"/>
  <c r="J15" i="8"/>
  <c r="K15" i="8"/>
  <c r="L15" i="8"/>
  <c r="F16" i="8"/>
  <c r="G16" i="8"/>
  <c r="H16" i="8"/>
  <c r="I16" i="8"/>
  <c r="J16" i="8"/>
  <c r="K16" i="8"/>
  <c r="L16" i="8"/>
  <c r="F17" i="8"/>
  <c r="G17" i="8"/>
  <c r="H17" i="8"/>
  <c r="I17" i="8"/>
  <c r="J17" i="8"/>
  <c r="K17" i="8"/>
  <c r="L17" i="8"/>
  <c r="F18" i="8"/>
  <c r="G18" i="8"/>
  <c r="H18" i="8"/>
  <c r="I18" i="8"/>
  <c r="J18" i="8"/>
  <c r="K18" i="8"/>
  <c r="L18" i="8"/>
  <c r="F19" i="8"/>
  <c r="G19" i="8"/>
  <c r="H19" i="8"/>
  <c r="I19" i="8"/>
  <c r="J19" i="8"/>
  <c r="K19" i="8"/>
  <c r="L19" i="8"/>
  <c r="F20" i="8"/>
  <c r="G20" i="8"/>
  <c r="H20" i="8"/>
  <c r="I20" i="8"/>
  <c r="J20" i="8"/>
  <c r="K20" i="8"/>
  <c r="L20" i="8"/>
  <c r="F21" i="8"/>
  <c r="G21" i="8"/>
  <c r="H21" i="8"/>
  <c r="I21" i="8"/>
  <c r="J21" i="8"/>
  <c r="K21" i="8"/>
  <c r="L21" i="8"/>
  <c r="F22" i="8"/>
  <c r="G22" i="8"/>
  <c r="H22" i="8"/>
  <c r="I22" i="8"/>
  <c r="J22" i="8"/>
  <c r="K22" i="8"/>
  <c r="L22" i="8"/>
  <c r="F23" i="8"/>
  <c r="G23" i="8"/>
  <c r="H23" i="8"/>
  <c r="I23" i="8"/>
  <c r="J23" i="8"/>
  <c r="K23" i="8"/>
  <c r="L23" i="8"/>
  <c r="F24" i="8"/>
  <c r="G24" i="8"/>
  <c r="H24" i="8"/>
  <c r="I24" i="8"/>
  <c r="J24" i="8"/>
  <c r="K24" i="8"/>
  <c r="L24" i="8"/>
  <c r="F14" i="8"/>
  <c r="G14" i="8"/>
  <c r="H14" i="8"/>
  <c r="I14" i="8"/>
  <c r="J14" i="8"/>
  <c r="K14" i="8"/>
  <c r="L14" i="8"/>
  <c r="E14" i="8"/>
  <c r="E24" i="8"/>
  <c r="E23" i="8"/>
  <c r="E22" i="8"/>
  <c r="E21" i="8"/>
  <c r="E20" i="8"/>
  <c r="E19" i="8"/>
  <c r="E18" i="8"/>
  <c r="E17" i="8"/>
  <c r="E16" i="8"/>
  <c r="E15" i="8"/>
  <c r="O25" i="10"/>
  <c r="O24" i="10"/>
  <c r="O23" i="10"/>
  <c r="O22" i="10"/>
  <c r="O21" i="10"/>
  <c r="O20" i="10"/>
  <c r="O19" i="10"/>
  <c r="O18" i="10"/>
  <c r="O17" i="10"/>
  <c r="O16" i="10"/>
  <c r="N25" i="10"/>
  <c r="N24" i="10"/>
  <c r="N23" i="10"/>
  <c r="N22" i="10"/>
  <c r="N21" i="10"/>
  <c r="N20" i="10"/>
  <c r="N19" i="10"/>
  <c r="N18" i="10"/>
  <c r="N17" i="10"/>
  <c r="N16" i="10"/>
  <c r="M25" i="10"/>
  <c r="M24" i="10"/>
  <c r="M23" i="10"/>
  <c r="M22" i="10"/>
  <c r="M21" i="10"/>
  <c r="M20" i="10"/>
  <c r="M19" i="10"/>
  <c r="M18" i="10"/>
  <c r="M17" i="10"/>
  <c r="M16" i="10"/>
  <c r="L25" i="10"/>
  <c r="L24" i="10"/>
  <c r="L23" i="10"/>
  <c r="L22" i="10"/>
  <c r="L21" i="10"/>
  <c r="L20" i="10"/>
  <c r="L19" i="10"/>
  <c r="L18" i="10"/>
  <c r="L17" i="10"/>
  <c r="L16" i="10"/>
  <c r="K17" i="10"/>
  <c r="K18" i="10"/>
  <c r="K19" i="10"/>
  <c r="K20" i="10"/>
  <c r="K21" i="10"/>
  <c r="K22" i="10"/>
  <c r="K23" i="10"/>
  <c r="K24" i="10"/>
  <c r="K25" i="10"/>
  <c r="K16" i="10"/>
  <c r="AD9" i="2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11" i="3"/>
  <c r="L43" i="10"/>
  <c r="M43" i="10"/>
  <c r="N43" i="10"/>
  <c r="O43" i="10"/>
  <c r="P43" i="10"/>
  <c r="Q43" i="10"/>
  <c r="F43" i="10"/>
  <c r="D43" i="10"/>
  <c r="C43" i="10"/>
  <c r="D56" i="8"/>
  <c r="E56" i="8"/>
  <c r="F56" i="8"/>
  <c r="G56" i="8"/>
  <c r="H56" i="8"/>
  <c r="I56" i="8"/>
  <c r="J56" i="8"/>
  <c r="K56" i="8"/>
  <c r="L56" i="8"/>
  <c r="D57" i="8"/>
  <c r="E57" i="8"/>
  <c r="F57" i="8"/>
  <c r="G57" i="8"/>
  <c r="H57" i="8"/>
  <c r="I57" i="8"/>
  <c r="J57" i="8"/>
  <c r="K57" i="8"/>
  <c r="L57" i="8"/>
  <c r="D58" i="8"/>
  <c r="E58" i="8"/>
  <c r="F58" i="8"/>
  <c r="G58" i="8"/>
  <c r="H58" i="8"/>
  <c r="I58" i="8"/>
  <c r="J58" i="8"/>
  <c r="K58" i="8"/>
  <c r="L58" i="8"/>
  <c r="D59" i="8"/>
  <c r="E59" i="8"/>
  <c r="F59" i="8"/>
  <c r="G59" i="8"/>
  <c r="H59" i="8"/>
  <c r="I59" i="8"/>
  <c r="J59" i="8"/>
  <c r="K59" i="8"/>
  <c r="L59" i="8"/>
  <c r="D60" i="8"/>
  <c r="E60" i="8"/>
  <c r="F60" i="8"/>
  <c r="G60" i="8"/>
  <c r="H60" i="8"/>
  <c r="I60" i="8"/>
  <c r="J60" i="8"/>
  <c r="K60" i="8"/>
  <c r="L60" i="8"/>
  <c r="B56" i="8"/>
  <c r="B57" i="8"/>
  <c r="B58" i="8"/>
  <c r="B59" i="8"/>
  <c r="B60" i="8"/>
  <c r="A56" i="8"/>
  <c r="A57" i="8"/>
  <c r="A58" i="8"/>
  <c r="A59" i="8"/>
  <c r="A60" i="8"/>
  <c r="D55" i="8"/>
  <c r="E55" i="8"/>
  <c r="F55" i="8"/>
  <c r="G55" i="8"/>
  <c r="H55" i="8"/>
  <c r="B55" i="8"/>
  <c r="A55" i="8"/>
  <c r="K55" i="8" s="1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40" i="8"/>
  <c r="E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40" i="8"/>
  <c r="A41" i="8"/>
  <c r="I41" i="8" s="1"/>
  <c r="A42" i="8"/>
  <c r="I42" i="8" s="1"/>
  <c r="A43" i="8"/>
  <c r="I43" i="8" s="1"/>
  <c r="A44" i="8"/>
  <c r="I44" i="8" s="1"/>
  <c r="A45" i="8"/>
  <c r="L45" i="8" s="1"/>
  <c r="A46" i="8"/>
  <c r="K46" i="8" s="1"/>
  <c r="A47" i="8"/>
  <c r="L47" i="8" s="1"/>
  <c r="A48" i="8"/>
  <c r="L48" i="8" s="1"/>
  <c r="A49" i="8"/>
  <c r="I49" i="8" s="1"/>
  <c r="A50" i="8"/>
  <c r="I50" i="8" s="1"/>
  <c r="A51" i="8"/>
  <c r="A52" i="8"/>
  <c r="A53" i="8"/>
  <c r="L53" i="8" s="1"/>
  <c r="A54" i="8"/>
  <c r="L54" i="8" s="1"/>
  <c r="A40" i="8"/>
  <c r="F40" i="8"/>
  <c r="G40" i="8"/>
  <c r="H40" i="8"/>
  <c r="I40" i="8"/>
  <c r="J40" i="8"/>
  <c r="K40" i="8"/>
  <c r="L40" i="8"/>
  <c r="F41" i="8"/>
  <c r="G41" i="8"/>
  <c r="H41" i="8"/>
  <c r="J41" i="8"/>
  <c r="K41" i="8"/>
  <c r="L41" i="8"/>
  <c r="F42" i="8"/>
  <c r="G42" i="8"/>
  <c r="H42" i="8"/>
  <c r="J42" i="8"/>
  <c r="K42" i="8"/>
  <c r="L42" i="8"/>
  <c r="F43" i="8"/>
  <c r="G43" i="8"/>
  <c r="H43" i="8"/>
  <c r="J43" i="8"/>
  <c r="K43" i="8"/>
  <c r="L43" i="8"/>
  <c r="F44" i="8"/>
  <c r="G44" i="8"/>
  <c r="H44" i="8"/>
  <c r="J44" i="8"/>
  <c r="F45" i="8"/>
  <c r="G45" i="8"/>
  <c r="H45" i="8"/>
  <c r="J45" i="8"/>
  <c r="F46" i="8"/>
  <c r="G46" i="8"/>
  <c r="J46" i="8"/>
  <c r="L46" i="8"/>
  <c r="F47" i="8"/>
  <c r="G47" i="8"/>
  <c r="H47" i="8"/>
  <c r="J47" i="8"/>
  <c r="K47" i="8"/>
  <c r="F48" i="8"/>
  <c r="G48" i="8"/>
  <c r="H48" i="8"/>
  <c r="I48" i="8"/>
  <c r="J48" i="8"/>
  <c r="K48" i="8"/>
  <c r="F49" i="8"/>
  <c r="G49" i="8"/>
  <c r="H49" i="8"/>
  <c r="F50" i="8"/>
  <c r="G50" i="8"/>
  <c r="H50" i="8"/>
  <c r="K50" i="8"/>
  <c r="L50" i="8"/>
  <c r="F51" i="8"/>
  <c r="G51" i="8"/>
  <c r="H51" i="8"/>
  <c r="I51" i="8"/>
  <c r="J51" i="8"/>
  <c r="K51" i="8"/>
  <c r="L51" i="8"/>
  <c r="F52" i="8"/>
  <c r="G52" i="8"/>
  <c r="H52" i="8"/>
  <c r="I52" i="8"/>
  <c r="J52" i="8"/>
  <c r="K52" i="8"/>
  <c r="L52" i="8"/>
  <c r="F53" i="8"/>
  <c r="G53" i="8"/>
  <c r="H53" i="8"/>
  <c r="I53" i="8"/>
  <c r="J53" i="8"/>
  <c r="K53" i="8"/>
  <c r="F54" i="8"/>
  <c r="G54" i="8"/>
  <c r="H54" i="8"/>
  <c r="I54" i="8"/>
  <c r="J54" i="8"/>
  <c r="K54" i="8"/>
  <c r="E41" i="8"/>
  <c r="E42" i="8"/>
  <c r="E43" i="8"/>
  <c r="E44" i="8"/>
  <c r="E45" i="8"/>
  <c r="E47" i="8"/>
  <c r="E48" i="8"/>
  <c r="E49" i="8"/>
  <c r="E50" i="8"/>
  <c r="E51" i="8"/>
  <c r="E52" i="8"/>
  <c r="E53" i="8"/>
  <c r="E54" i="8"/>
  <c r="K29" i="7"/>
  <c r="K28" i="7"/>
  <c r="W68" i="10" l="1"/>
  <c r="X68" i="10"/>
  <c r="O68" i="10"/>
  <c r="R68" i="10"/>
  <c r="O78" i="12"/>
  <c r="Q78" i="12"/>
  <c r="U68" i="10"/>
  <c r="R78" i="12"/>
  <c r="P78" i="12"/>
  <c r="V68" i="10"/>
  <c r="T68" i="10"/>
  <c r="N78" i="12"/>
  <c r="O59" i="11"/>
  <c r="S68" i="10"/>
  <c r="Y24" i="10"/>
  <c r="M78" i="12"/>
  <c r="Y25" i="10"/>
  <c r="N68" i="10"/>
  <c r="M68" i="10"/>
  <c r="Y19" i="10"/>
  <c r="Q68" i="10"/>
  <c r="Y18" i="10"/>
  <c r="Y16" i="10"/>
  <c r="Y17" i="10"/>
  <c r="K68" i="10"/>
  <c r="Y23" i="10"/>
  <c r="Y21" i="10"/>
  <c r="P68" i="10"/>
  <c r="Y22" i="10"/>
  <c r="Y20" i="10"/>
  <c r="Q28" i="12"/>
  <c r="L68" i="10"/>
  <c r="P28" i="12"/>
  <c r="O28" i="12"/>
  <c r="W28" i="10"/>
  <c r="V15" i="10"/>
  <c r="M28" i="12"/>
  <c r="G28" i="12"/>
  <c r="T14" i="12"/>
  <c r="I28" i="12"/>
  <c r="G15" i="12"/>
  <c r="R28" i="12"/>
  <c r="L15" i="12"/>
  <c r="G78" i="12"/>
  <c r="J28" i="12"/>
  <c r="H15" i="12"/>
  <c r="J78" i="12"/>
  <c r="K28" i="12"/>
  <c r="I78" i="12"/>
  <c r="L78" i="12"/>
  <c r="S28" i="12"/>
  <c r="K78" i="12"/>
  <c r="H78" i="12"/>
  <c r="R28" i="10"/>
  <c r="N14" i="10"/>
  <c r="N15" i="10" s="1"/>
  <c r="O14" i="10"/>
  <c r="O15" i="10" s="1"/>
  <c r="L14" i="10"/>
  <c r="L15" i="10" s="1"/>
  <c r="K14" i="10"/>
  <c r="K15" i="10" s="1"/>
  <c r="M14" i="10"/>
  <c r="M15" i="10" s="1"/>
  <c r="V28" i="10"/>
  <c r="S28" i="10"/>
  <c r="U28" i="10"/>
  <c r="T28" i="10"/>
  <c r="Q15" i="10"/>
  <c r="S59" i="11"/>
  <c r="T15" i="11"/>
  <c r="M59" i="11"/>
  <c r="L59" i="11"/>
  <c r="R59" i="11"/>
  <c r="N59" i="11"/>
  <c r="Q59" i="11"/>
  <c r="K59" i="11"/>
  <c r="T28" i="11"/>
  <c r="J49" i="10"/>
  <c r="J68" i="10" s="1"/>
  <c r="G49" i="10"/>
  <c r="G68" i="10" s="1"/>
  <c r="J55" i="8"/>
  <c r="I55" i="8"/>
  <c r="L55" i="8"/>
  <c r="F61" i="8"/>
  <c r="G61" i="8"/>
  <c r="J50" i="8"/>
  <c r="E46" i="8"/>
  <c r="E61" i="8" s="1"/>
  <c r="K45" i="8"/>
  <c r="L44" i="8"/>
  <c r="K44" i="8"/>
  <c r="L49" i="8"/>
  <c r="I45" i="8"/>
  <c r="K49" i="8"/>
  <c r="I47" i="8"/>
  <c r="I46" i="8"/>
  <c r="H46" i="8"/>
  <c r="H61" i="8" s="1"/>
  <c r="J49" i="8"/>
  <c r="K18" i="7"/>
  <c r="K21" i="7"/>
  <c r="K25" i="7"/>
  <c r="K19" i="7"/>
  <c r="K27" i="7"/>
  <c r="K26" i="7"/>
  <c r="K20" i="7"/>
  <c r="K24" i="7"/>
  <c r="K23" i="7"/>
  <c r="K22" i="7"/>
  <c r="BE9" i="2"/>
  <c r="BE8" i="2"/>
  <c r="BE7" i="2" s="1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B8" i="3"/>
  <c r="BA8" i="3"/>
  <c r="BA7" i="3" s="1"/>
  <c r="AZ8" i="3"/>
  <c r="AY8" i="3"/>
  <c r="AX8" i="3"/>
  <c r="AW8" i="3"/>
  <c r="AW7" i="3" s="1"/>
  <c r="AV8" i="3"/>
  <c r="AU8" i="3"/>
  <c r="AT8" i="3"/>
  <c r="AS8" i="3"/>
  <c r="AR8" i="3"/>
  <c r="AQ8" i="3"/>
  <c r="AP8" i="3"/>
  <c r="AO8" i="3"/>
  <c r="AN8" i="3"/>
  <c r="AM8" i="3"/>
  <c r="AM7" i="3" s="1"/>
  <c r="AL8" i="3"/>
  <c r="AK8" i="3"/>
  <c r="AK7" i="3" s="1"/>
  <c r="AJ8" i="3"/>
  <c r="AJ7" i="3" s="1"/>
  <c r="AI8" i="3"/>
  <c r="AH8" i="3"/>
  <c r="AG8" i="3"/>
  <c r="AF8" i="3"/>
  <c r="AE8" i="3"/>
  <c r="AD8" i="3"/>
  <c r="AD7" i="3" s="1"/>
  <c r="AC8" i="3"/>
  <c r="AC7" i="3" s="1"/>
  <c r="AB8" i="3"/>
  <c r="AB7" i="3" s="1"/>
  <c r="AA8" i="3"/>
  <c r="AA7" i="3" s="1"/>
  <c r="Z8" i="3"/>
  <c r="Y8" i="3"/>
  <c r="Y7" i="3" s="1"/>
  <c r="X8" i="3"/>
  <c r="X7" i="3" s="1"/>
  <c r="W8" i="3"/>
  <c r="V8" i="3"/>
  <c r="U8" i="3"/>
  <c r="U7" i="3" s="1"/>
  <c r="T8" i="3"/>
  <c r="T7" i="3" s="1"/>
  <c r="S8" i="3"/>
  <c r="S7" i="3" s="1"/>
  <c r="R8" i="3"/>
  <c r="R7" i="3" s="1"/>
  <c r="Q8" i="3"/>
  <c r="Q7" i="3" s="1"/>
  <c r="P8" i="3"/>
  <c r="P7" i="3" s="1"/>
  <c r="O8" i="3"/>
  <c r="O7" i="3" s="1"/>
  <c r="N8" i="3"/>
  <c r="M8" i="3"/>
  <c r="M7" i="3" s="1"/>
  <c r="L8" i="3"/>
  <c r="L7" i="3" s="1"/>
  <c r="K8" i="3"/>
  <c r="K7" i="3" s="1"/>
  <c r="J8" i="3"/>
  <c r="J7" i="3" s="1"/>
  <c r="I8" i="3"/>
  <c r="I7" i="3" s="1"/>
  <c r="H8" i="3"/>
  <c r="H7" i="3" s="1"/>
  <c r="G8" i="3"/>
  <c r="G7" i="3" s="1"/>
  <c r="F8" i="3"/>
  <c r="F7" i="3" s="1"/>
  <c r="E8" i="3"/>
  <c r="E7" i="3" s="1"/>
  <c r="D8" i="3"/>
  <c r="D7" i="3" s="1"/>
  <c r="C8" i="3"/>
  <c r="C7" i="3" s="1"/>
  <c r="BB7" i="3"/>
  <c r="AZ7" i="3"/>
  <c r="AY7" i="3"/>
  <c r="AX7" i="3"/>
  <c r="AV7" i="3"/>
  <c r="AU7" i="3"/>
  <c r="AT7" i="3"/>
  <c r="AS7" i="3"/>
  <c r="AR7" i="3"/>
  <c r="AQ7" i="3"/>
  <c r="AP7" i="3"/>
  <c r="AO7" i="3"/>
  <c r="AN7" i="3"/>
  <c r="AL7" i="3"/>
  <c r="AI7" i="3"/>
  <c r="AH7" i="3"/>
  <c r="AG7" i="3"/>
  <c r="AF7" i="3"/>
  <c r="AE7" i="3"/>
  <c r="Z7" i="3"/>
  <c r="W7" i="3"/>
  <c r="V7" i="3"/>
  <c r="N7" i="3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BD8" i="2"/>
  <c r="BD7" i="2" s="1"/>
  <c r="BC8" i="2"/>
  <c r="BC7" i="2" s="1"/>
  <c r="BB8" i="2"/>
  <c r="BB7" i="2" s="1"/>
  <c r="BA8" i="2"/>
  <c r="BA7" i="2" s="1"/>
  <c r="AZ8" i="2"/>
  <c r="AZ7" i="2" s="1"/>
  <c r="AY8" i="2"/>
  <c r="AY7" i="2" s="1"/>
  <c r="AX8" i="2"/>
  <c r="AX7" i="2" s="1"/>
  <c r="AW8" i="2"/>
  <c r="AW7" i="2" s="1"/>
  <c r="AV8" i="2"/>
  <c r="AV7" i="2" s="1"/>
  <c r="AU8" i="2"/>
  <c r="AU7" i="2" s="1"/>
  <c r="AT8" i="2"/>
  <c r="AT7" i="2" s="1"/>
  <c r="AS8" i="2"/>
  <c r="AS7" i="2" s="1"/>
  <c r="AR8" i="2"/>
  <c r="AR7" i="2" s="1"/>
  <c r="AQ8" i="2"/>
  <c r="AQ7" i="2" s="1"/>
  <c r="AP8" i="2"/>
  <c r="AP7" i="2" s="1"/>
  <c r="AO8" i="2"/>
  <c r="AO7" i="2" s="1"/>
  <c r="AN8" i="2"/>
  <c r="AN7" i="2" s="1"/>
  <c r="AM8" i="2"/>
  <c r="AM7" i="2" s="1"/>
  <c r="AL8" i="2"/>
  <c r="AL7" i="2" s="1"/>
  <c r="AK8" i="2"/>
  <c r="AK7" i="2" s="1"/>
  <c r="AJ8" i="2"/>
  <c r="AJ7" i="2" s="1"/>
  <c r="AI8" i="2"/>
  <c r="AI7" i="2" s="1"/>
  <c r="AH8" i="2"/>
  <c r="AH7" i="2" s="1"/>
  <c r="AG8" i="2"/>
  <c r="AG7" i="2" s="1"/>
  <c r="X28" i="10" s="1"/>
  <c r="AF8" i="2"/>
  <c r="AF7" i="2" s="1"/>
  <c r="AE8" i="2"/>
  <c r="AE7" i="2" s="1"/>
  <c r="P28" i="10" s="1"/>
  <c r="AD8" i="2"/>
  <c r="AD7" i="2" s="1"/>
  <c r="AC8" i="2"/>
  <c r="AC7" i="2" s="1"/>
  <c r="AB8" i="2"/>
  <c r="AB7" i="2" s="1"/>
  <c r="AA8" i="2"/>
  <c r="AA7" i="2" s="1"/>
  <c r="Z8" i="2"/>
  <c r="Z7" i="2" s="1"/>
  <c r="Y8" i="2"/>
  <c r="Y7" i="2" s="1"/>
  <c r="X8" i="2"/>
  <c r="X7" i="2" s="1"/>
  <c r="W8" i="2"/>
  <c r="W7" i="2" s="1"/>
  <c r="V8" i="2"/>
  <c r="V7" i="2" s="1"/>
  <c r="U8" i="2"/>
  <c r="U7" i="2" s="1"/>
  <c r="T8" i="2"/>
  <c r="T7" i="2" s="1"/>
  <c r="S8" i="2"/>
  <c r="S7" i="2" s="1"/>
  <c r="R8" i="2"/>
  <c r="R7" i="2" s="1"/>
  <c r="Q8" i="2"/>
  <c r="Q7" i="2" s="1"/>
  <c r="P8" i="2"/>
  <c r="P7" i="2" s="1"/>
  <c r="O8" i="2"/>
  <c r="O7" i="2" s="1"/>
  <c r="N8" i="2"/>
  <c r="N7" i="2" s="1"/>
  <c r="M8" i="2"/>
  <c r="M7" i="2" s="1"/>
  <c r="L8" i="2"/>
  <c r="L7" i="2" s="1"/>
  <c r="K8" i="2"/>
  <c r="K7" i="2" s="1"/>
  <c r="J8" i="2"/>
  <c r="J7" i="2" s="1"/>
  <c r="I8" i="2"/>
  <c r="I7" i="2" s="1"/>
  <c r="H8" i="2"/>
  <c r="H7" i="2" s="1"/>
  <c r="G8" i="2"/>
  <c r="G7" i="2" s="1"/>
  <c r="F8" i="2"/>
  <c r="F7" i="2" s="1"/>
  <c r="E8" i="2"/>
  <c r="E7" i="2" s="1"/>
  <c r="Y14" i="10" l="1"/>
  <c r="Y15" i="10"/>
  <c r="T15" i="12"/>
  <c r="T28" i="12"/>
  <c r="N28" i="10"/>
  <c r="Q28" i="10"/>
  <c r="K17" i="7"/>
  <c r="K30" i="7" s="1"/>
  <c r="K28" i="10"/>
  <c r="M28" i="10"/>
  <c r="L28" i="10"/>
  <c r="O28" i="10"/>
  <c r="K61" i="8"/>
  <c r="L61" i="8"/>
  <c r="J61" i="8"/>
  <c r="I61" i="8"/>
  <c r="F27" i="8"/>
  <c r="G27" i="8"/>
  <c r="L27" i="8"/>
  <c r="J27" i="8"/>
  <c r="E27" i="8"/>
  <c r="K27" i="8"/>
  <c r="I27" i="8"/>
  <c r="H30" i="7"/>
  <c r="N30" i="7"/>
  <c r="I30" i="7"/>
  <c r="O30" i="7"/>
  <c r="H27" i="8"/>
  <c r="G30" i="7"/>
  <c r="J30" i="7"/>
  <c r="P30" i="7"/>
  <c r="M30" i="7"/>
  <c r="E30" i="7"/>
  <c r="Q30" i="7"/>
  <c r="F30" i="7"/>
  <c r="L30" i="7"/>
  <c r="Y28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T9" authorId="0" shapeId="0" xr:uid="{00000000-0006-0000-0200-000001000000}">
      <text>
        <r>
          <rPr>
            <sz val="10"/>
            <color rgb="FF000000"/>
            <rFont val="돋움"/>
            <family val="3"/>
            <charset val="129"/>
          </rPr>
          <t xml:space="preserve">의창구집회
</t>
        </r>
      </text>
    </comment>
    <comment ref="G10" authorId="0" shapeId="0" xr:uid="{00000000-0006-0000-0200-000002000000}">
      <text>
        <r>
          <rPr>
            <sz val="10"/>
            <color rgb="FF000000"/>
            <rFont val="돋움"/>
            <family val="3"/>
            <charset val="129"/>
          </rPr>
          <t>설연휴</t>
        </r>
      </text>
    </comment>
    <comment ref="L10" authorId="0" shapeId="0" xr:uid="{00000000-0006-0000-0200-000003000000}">
      <text>
        <r>
          <rPr>
            <sz val="10"/>
            <color rgb="FF000000"/>
            <rFont val="돋움"/>
            <family val="3"/>
            <charset val="129"/>
          </rPr>
          <t>북면집회</t>
        </r>
      </text>
    </comment>
    <comment ref="Q10" authorId="0" shapeId="0" xr:uid="{00000000-0006-0000-0200-000004000000}">
      <text>
        <r>
          <rPr>
            <sz val="10"/>
            <color rgb="FF000000"/>
            <rFont val="돋움"/>
            <family val="3"/>
            <charset val="129"/>
          </rPr>
          <t>창녕집회
구역별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출석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파악안됨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<sst xmlns="http://schemas.openxmlformats.org/spreadsheetml/2006/main" count="910" uniqueCount="421">
  <si>
    <t>예비명단_11</t>
  </si>
  <si>
    <t>예비명단_31</t>
  </si>
  <si>
    <t>예비명단_33</t>
  </si>
  <si>
    <t>예비명단_21</t>
  </si>
  <si>
    <t>예비명단_32</t>
  </si>
  <si>
    <t>예비명단_22</t>
  </si>
  <si>
    <t>예비명단_42</t>
  </si>
  <si>
    <t>예비명단_41</t>
  </si>
  <si>
    <t>출석 계</t>
  </si>
  <si>
    <t>예비명단_12</t>
  </si>
  <si>
    <t>김주현</t>
  </si>
  <si>
    <t>박춘련</t>
  </si>
  <si>
    <t>이영준</t>
  </si>
  <si>
    <t>조영미</t>
  </si>
  <si>
    <t>이소미</t>
  </si>
  <si>
    <t>김대호</t>
  </si>
  <si>
    <t>홍금숙</t>
  </si>
  <si>
    <t>나효심</t>
  </si>
  <si>
    <t>김선자</t>
  </si>
  <si>
    <t>이학순</t>
  </si>
  <si>
    <t>양인수</t>
  </si>
  <si>
    <t>곽상호</t>
  </si>
  <si>
    <t>구민숙</t>
  </si>
  <si>
    <t>정대림</t>
  </si>
  <si>
    <t>이영순</t>
  </si>
  <si>
    <t>김상금</t>
  </si>
  <si>
    <t>윤경일</t>
  </si>
  <si>
    <t>김종준</t>
  </si>
  <si>
    <t>이재순</t>
  </si>
  <si>
    <t>문혜원</t>
  </si>
  <si>
    <t>조은빈</t>
  </si>
  <si>
    <t>이지영</t>
  </si>
  <si>
    <t>김외숙</t>
  </si>
  <si>
    <t>우호성</t>
  </si>
  <si>
    <t>황윤실</t>
  </si>
  <si>
    <t>노증미</t>
  </si>
  <si>
    <t>임정숙</t>
  </si>
  <si>
    <t>이윤옥</t>
  </si>
  <si>
    <t>임용열</t>
  </si>
  <si>
    <t>김미옥</t>
  </si>
  <si>
    <t>조성민</t>
  </si>
  <si>
    <t>김현숙</t>
  </si>
  <si>
    <t>손경희</t>
  </si>
  <si>
    <t>안경희</t>
  </si>
  <si>
    <t>이진영</t>
  </si>
  <si>
    <t>박경자</t>
  </si>
  <si>
    <t>서순희</t>
  </si>
  <si>
    <t>손정미</t>
  </si>
  <si>
    <t>김미라</t>
  </si>
  <si>
    <t>최미영</t>
  </si>
  <si>
    <t>김연지</t>
  </si>
  <si>
    <t>주경숙</t>
  </si>
  <si>
    <t>권혁재</t>
  </si>
  <si>
    <t>최백숙</t>
  </si>
  <si>
    <t>배윤하</t>
  </si>
  <si>
    <t>강승윤</t>
  </si>
  <si>
    <t>유이순</t>
  </si>
  <si>
    <t>박성찬</t>
  </si>
  <si>
    <t>백재민</t>
  </si>
  <si>
    <t>김현수</t>
  </si>
  <si>
    <t>김옥례</t>
  </si>
  <si>
    <t>양재혁</t>
  </si>
  <si>
    <t>서주영</t>
  </si>
  <si>
    <t>이옥임</t>
  </si>
  <si>
    <t>이종복</t>
  </si>
  <si>
    <t>강희선</t>
  </si>
  <si>
    <t>오성연</t>
  </si>
  <si>
    <t>김삼중</t>
  </si>
  <si>
    <t>박경순</t>
  </si>
  <si>
    <t>김채은</t>
  </si>
  <si>
    <t>손정한</t>
  </si>
  <si>
    <t>채병연</t>
  </si>
  <si>
    <t>임준석</t>
  </si>
  <si>
    <t>임기화</t>
  </si>
  <si>
    <t>김종증</t>
  </si>
  <si>
    <t>김상호</t>
  </si>
  <si>
    <t>우경태</t>
  </si>
  <si>
    <t>이채은</t>
  </si>
  <si>
    <t>하종구</t>
  </si>
  <si>
    <t>전진우</t>
  </si>
  <si>
    <t>권동구</t>
  </si>
  <si>
    <t>홍성범</t>
  </si>
  <si>
    <t>안선희</t>
  </si>
  <si>
    <t>양은형</t>
  </si>
  <si>
    <t>배경순</t>
  </si>
  <si>
    <t>정민구</t>
  </si>
  <si>
    <t>한연화</t>
  </si>
  <si>
    <t>김용범</t>
  </si>
  <si>
    <t>이둘련</t>
  </si>
  <si>
    <t>서다혜</t>
  </si>
  <si>
    <t>이미화</t>
  </si>
  <si>
    <t>우지현</t>
  </si>
  <si>
    <t>양향미</t>
  </si>
  <si>
    <t>고현민</t>
  </si>
  <si>
    <t>이순영</t>
  </si>
  <si>
    <t>최미선</t>
  </si>
  <si>
    <t>이석찬</t>
  </si>
  <si>
    <t>최인혁</t>
  </si>
  <si>
    <t>유애지</t>
  </si>
  <si>
    <t>곽문희</t>
  </si>
  <si>
    <t>김선희</t>
  </si>
  <si>
    <t>문경숙</t>
  </si>
  <si>
    <t>배미숙</t>
  </si>
  <si>
    <t>손미영</t>
  </si>
  <si>
    <t>오주홍</t>
  </si>
  <si>
    <t>최준서</t>
  </si>
  <si>
    <t>이순애</t>
  </si>
  <si>
    <t>하화자</t>
  </si>
  <si>
    <t>왕혜원</t>
  </si>
  <si>
    <t>채경원</t>
  </si>
  <si>
    <t>윤영희</t>
  </si>
  <si>
    <t>서우진</t>
  </si>
  <si>
    <t>민경리</t>
  </si>
  <si>
    <t>김형석</t>
  </si>
  <si>
    <t>서영석</t>
  </si>
  <si>
    <t>하진</t>
  </si>
  <si>
    <t>이예담</t>
  </si>
  <si>
    <t>오창열</t>
  </si>
  <si>
    <t>정영희</t>
  </si>
  <si>
    <t>오주은</t>
  </si>
  <si>
    <t>윤정훈</t>
  </si>
  <si>
    <t>한연수</t>
  </si>
  <si>
    <t>김정순</t>
  </si>
  <si>
    <t>김숙희</t>
  </si>
  <si>
    <t>조수진</t>
  </si>
  <si>
    <t>배미정</t>
  </si>
  <si>
    <t>손창근</t>
  </si>
  <si>
    <t>박종한</t>
  </si>
  <si>
    <t>양종우</t>
  </si>
  <si>
    <t>김대원</t>
  </si>
  <si>
    <t>왕순철</t>
  </si>
  <si>
    <t>김정문</t>
  </si>
  <si>
    <t>안윤희</t>
  </si>
  <si>
    <t>감애옥</t>
  </si>
  <si>
    <t>정다움</t>
  </si>
  <si>
    <t>김양곤</t>
  </si>
  <si>
    <t>진봉덕</t>
  </si>
  <si>
    <t>이정형</t>
  </si>
  <si>
    <t>전병철</t>
  </si>
  <si>
    <t>서순자</t>
  </si>
  <si>
    <t>박복남</t>
  </si>
  <si>
    <t>정평순</t>
  </si>
  <si>
    <t>김태빈</t>
  </si>
  <si>
    <t>장정이</t>
  </si>
  <si>
    <t>오은경</t>
  </si>
  <si>
    <t>장연지</t>
  </si>
  <si>
    <t>남영준</t>
  </si>
  <si>
    <t>이종률</t>
  </si>
  <si>
    <t>김민경</t>
  </si>
  <si>
    <t>김호선</t>
  </si>
  <si>
    <t>송근식</t>
  </si>
  <si>
    <t>김동현</t>
  </si>
  <si>
    <t>서종호</t>
  </si>
  <si>
    <t>왕준수</t>
  </si>
  <si>
    <t>정미화</t>
  </si>
  <si>
    <t>이숙이</t>
  </si>
  <si>
    <t>온주란</t>
  </si>
  <si>
    <t>배종찬</t>
  </si>
  <si>
    <t>장승호</t>
  </si>
  <si>
    <t>권유희</t>
  </si>
  <si>
    <t>서치호</t>
  </si>
  <si>
    <t>조정화</t>
  </si>
  <si>
    <t>김성령</t>
  </si>
  <si>
    <t>박민경</t>
  </si>
  <si>
    <t>양재원</t>
  </si>
  <si>
    <t>진찬식</t>
  </si>
  <si>
    <t>김형신</t>
  </si>
  <si>
    <t>김성임</t>
  </si>
  <si>
    <t>김재용</t>
  </si>
  <si>
    <t>최윤서</t>
  </si>
  <si>
    <t>김지민</t>
  </si>
  <si>
    <t>이재경</t>
  </si>
  <si>
    <t>안성범</t>
  </si>
  <si>
    <t>오민혁</t>
  </si>
  <si>
    <t>정선웅</t>
  </si>
  <si>
    <t>양애란</t>
  </si>
  <si>
    <t>임정순</t>
  </si>
  <si>
    <t>김민주</t>
  </si>
  <si>
    <t>장유정</t>
  </si>
  <si>
    <t>이태현</t>
  </si>
  <si>
    <t>장소윤</t>
  </si>
  <si>
    <t>서금자</t>
  </si>
  <si>
    <t>조명임</t>
  </si>
  <si>
    <t>지솔미</t>
  </si>
  <si>
    <t>최수정</t>
  </si>
  <si>
    <t>김선우</t>
  </si>
  <si>
    <t>장관익</t>
  </si>
  <si>
    <t>정종순</t>
  </si>
  <si>
    <t>손미숙</t>
  </si>
  <si>
    <t>김보경</t>
  </si>
  <si>
    <t>추민경</t>
  </si>
  <si>
    <t>서호성</t>
  </si>
  <si>
    <t>최순임</t>
  </si>
  <si>
    <t>이상호</t>
  </si>
  <si>
    <t>조경식</t>
  </si>
  <si>
    <t>최영옥</t>
  </si>
  <si>
    <t>서기환</t>
  </si>
  <si>
    <t>김정현</t>
  </si>
  <si>
    <t>이수연</t>
  </si>
  <si>
    <t>김복순</t>
  </si>
  <si>
    <t>정성휘</t>
  </si>
  <si>
    <t>구역</t>
  </si>
  <si>
    <t>송경애</t>
  </si>
  <si>
    <t>조동주</t>
  </si>
  <si>
    <t>김동환</t>
  </si>
  <si>
    <t>전영애</t>
  </si>
  <si>
    <t>지용남</t>
  </si>
  <si>
    <t>최복남</t>
  </si>
  <si>
    <t>정호진</t>
  </si>
  <si>
    <t>김향자</t>
  </si>
  <si>
    <t>김주영</t>
  </si>
  <si>
    <t>조재근</t>
  </si>
  <si>
    <t>성명</t>
  </si>
  <si>
    <t>전쾌수</t>
  </si>
  <si>
    <t>김지현</t>
  </si>
  <si>
    <t>신현수</t>
  </si>
  <si>
    <t>조수자</t>
  </si>
  <si>
    <t>장수영</t>
  </si>
  <si>
    <t>박원배</t>
  </si>
  <si>
    <t>이흥삼</t>
  </si>
  <si>
    <t>이말연</t>
  </si>
  <si>
    <t>김해은</t>
  </si>
  <si>
    <t>인도자</t>
  </si>
  <si>
    <t>황인기</t>
  </si>
  <si>
    <t>김태익</t>
  </si>
  <si>
    <t>윤대혁</t>
  </si>
  <si>
    <t>홍순애</t>
  </si>
  <si>
    <t>노무연</t>
  </si>
  <si>
    <t>안순일</t>
  </si>
  <si>
    <t>조정환</t>
  </si>
  <si>
    <t>한상미</t>
  </si>
  <si>
    <t>전이우</t>
  </si>
  <si>
    <t>진현조</t>
  </si>
  <si>
    <t>신미</t>
  </si>
  <si>
    <t>송경연</t>
  </si>
  <si>
    <t>장재희</t>
  </si>
  <si>
    <t>구 역</t>
  </si>
  <si>
    <t>최명희</t>
  </si>
  <si>
    <t>노부남</t>
  </si>
  <si>
    <t>김창근</t>
  </si>
  <si>
    <t>김영수</t>
  </si>
  <si>
    <t>김세문</t>
  </si>
  <si>
    <t>이한나</t>
  </si>
  <si>
    <t>오태자</t>
  </si>
  <si>
    <t>변교현</t>
  </si>
  <si>
    <t>조은지</t>
  </si>
  <si>
    <t>박도은</t>
  </si>
  <si>
    <t>오민성</t>
  </si>
  <si>
    <t>이영희</t>
  </si>
  <si>
    <t>송영화</t>
  </si>
  <si>
    <t>우명호</t>
  </si>
  <si>
    <t>서부돌</t>
  </si>
  <si>
    <t>정동범</t>
  </si>
  <si>
    <t>조하은</t>
  </si>
  <si>
    <t>김용택</t>
  </si>
  <si>
    <t>최시애</t>
  </si>
  <si>
    <t>이승목</t>
  </si>
  <si>
    <t>최화경</t>
  </si>
  <si>
    <t>이희출</t>
  </si>
  <si>
    <t>최정희</t>
  </si>
  <si>
    <t>서일환</t>
  </si>
  <si>
    <t>김병훈</t>
  </si>
  <si>
    <t>장준우</t>
  </si>
  <si>
    <t>한윤숙</t>
  </si>
  <si>
    <t>서동진</t>
  </si>
  <si>
    <t>서학미</t>
  </si>
  <si>
    <t>김점자</t>
  </si>
  <si>
    <t>전민지</t>
  </si>
  <si>
    <t>김성권</t>
  </si>
  <si>
    <t>류순주</t>
  </si>
  <si>
    <t>김영재</t>
  </si>
  <si>
    <t>황상진</t>
  </si>
  <si>
    <t>김미수</t>
  </si>
  <si>
    <t>박현숙</t>
  </si>
  <si>
    <t>안성애</t>
  </si>
  <si>
    <t>이병래</t>
  </si>
  <si>
    <t>박미옥</t>
  </si>
  <si>
    <t>최경숙</t>
  </si>
  <si>
    <t>이문자</t>
  </si>
  <si>
    <t>송세영</t>
  </si>
  <si>
    <t>엽진숙</t>
  </si>
  <si>
    <t>신두호</t>
  </si>
  <si>
    <t>양현직</t>
  </si>
  <si>
    <t>이 름</t>
  </si>
  <si>
    <t>김동순</t>
  </si>
  <si>
    <t>김재수</t>
  </si>
  <si>
    <t>서아름</t>
  </si>
  <si>
    <t>황규진</t>
  </si>
  <si>
    <t>최난영</t>
  </si>
  <si>
    <t>김경아</t>
  </si>
  <si>
    <t>박하나</t>
  </si>
  <si>
    <t>김영은</t>
  </si>
  <si>
    <r>
      <t>예비명단_</t>
    </r>
    <r>
      <rPr>
        <sz val="11"/>
        <color rgb="FF000000"/>
        <rFont val="맑은 고딕"/>
        <family val="3"/>
        <charset val="129"/>
      </rPr>
      <t>33</t>
    </r>
  </si>
  <si>
    <t>김재홍</t>
    <phoneticPr fontId="7" type="noConversion"/>
  </si>
  <si>
    <t>박점숙</t>
    <phoneticPr fontId="7" type="noConversion"/>
  </si>
  <si>
    <t>백종애</t>
    <phoneticPr fontId="7" type="noConversion"/>
  </si>
  <si>
    <t>서병욱</t>
    <phoneticPr fontId="7" type="noConversion"/>
  </si>
  <si>
    <t>김명선</t>
    <phoneticPr fontId="7" type="noConversion"/>
  </si>
  <si>
    <t>최명희</t>
    <phoneticPr fontId="7" type="noConversion"/>
  </si>
  <si>
    <t>김성엽</t>
  </si>
  <si>
    <t>전진복</t>
  </si>
  <si>
    <t>양해광</t>
  </si>
  <si>
    <t>이나은</t>
  </si>
  <si>
    <t>임지연</t>
  </si>
  <si>
    <t>양해윤</t>
  </si>
  <si>
    <t>임한결</t>
  </si>
  <si>
    <t>임영택</t>
  </si>
  <si>
    <t>장희수</t>
  </si>
  <si>
    <t>민주안</t>
  </si>
  <si>
    <t>김재홍</t>
  </si>
  <si>
    <t>이동하</t>
  </si>
  <si>
    <t>박점숙</t>
  </si>
  <si>
    <t>안진숙</t>
  </si>
  <si>
    <t>이정화</t>
  </si>
  <si>
    <t>김만영</t>
  </si>
  <si>
    <t>이은선</t>
  </si>
  <si>
    <t>이용민</t>
  </si>
  <si>
    <t>김한의(군)</t>
  </si>
  <si>
    <t>신민준</t>
  </si>
  <si>
    <t>김태욱</t>
  </si>
  <si>
    <t>윤정란</t>
  </si>
  <si>
    <t>백미자</t>
  </si>
  <si>
    <t>박선경</t>
  </si>
  <si>
    <t>강명자</t>
  </si>
  <si>
    <t>이가희</t>
  </si>
  <si>
    <t>최정숙</t>
  </si>
  <si>
    <t>백종애</t>
  </si>
  <si>
    <t>정주상</t>
  </si>
  <si>
    <t>윤혜주</t>
  </si>
  <si>
    <t>김종웅</t>
  </si>
  <si>
    <t>김정미</t>
  </si>
  <si>
    <t>김나용</t>
  </si>
  <si>
    <t>김희승</t>
  </si>
  <si>
    <t>황다혜</t>
  </si>
  <si>
    <t xml:space="preserve">주일 참석자 현황 </t>
    <phoneticPr fontId="9" type="noConversion"/>
  </si>
  <si>
    <t>합계</t>
    <phoneticPr fontId="9" type="noConversion"/>
  </si>
  <si>
    <t>구분</t>
    <phoneticPr fontId="7" type="noConversion"/>
  </si>
  <si>
    <t>주소록</t>
  </si>
  <si>
    <t>주소록</t>
    <phoneticPr fontId="7" type="noConversion"/>
  </si>
  <si>
    <t>새참자</t>
    <phoneticPr fontId="7" type="noConversion"/>
  </si>
  <si>
    <t>명단</t>
    <phoneticPr fontId="9" type="noConversion"/>
  </si>
  <si>
    <t>날짜</t>
  </si>
  <si>
    <t>성인</t>
  </si>
  <si>
    <t>유초</t>
  </si>
  <si>
    <t>중고</t>
  </si>
  <si>
    <t>구역</t>
    <phoneticPr fontId="9" type="noConversion"/>
  </si>
  <si>
    <t>구분</t>
    <phoneticPr fontId="9" type="noConversion"/>
  </si>
  <si>
    <t>재적39명</t>
    <phoneticPr fontId="9" type="noConversion"/>
  </si>
  <si>
    <t>재적27명</t>
    <phoneticPr fontId="9" type="noConversion"/>
  </si>
  <si>
    <t>재적31명</t>
    <phoneticPr fontId="9" type="noConversion"/>
  </si>
  <si>
    <t>재적23명</t>
    <phoneticPr fontId="9" type="noConversion"/>
  </si>
  <si>
    <t>재적35명</t>
    <phoneticPr fontId="9" type="noConversion"/>
  </si>
  <si>
    <t>재적28명</t>
    <phoneticPr fontId="9" type="noConversion"/>
  </si>
  <si>
    <t>재적30명</t>
    <phoneticPr fontId="9" type="noConversion"/>
  </si>
  <si>
    <t>재적29명</t>
    <phoneticPr fontId="9" type="noConversion"/>
  </si>
  <si>
    <t>재적34명</t>
    <phoneticPr fontId="9" type="noConversion"/>
  </si>
  <si>
    <t>재적12명</t>
    <phoneticPr fontId="9" type="noConversion"/>
  </si>
  <si>
    <t>※ 2월15일 은 설 명절 관계로 평균값(1월4일~2월8일) 입력</t>
    <phoneticPr fontId="7" type="noConversion"/>
  </si>
  <si>
    <t>※ 유초등부, 중고등부는 별도 파악하여 입력</t>
  </si>
  <si>
    <t>※ 유초등부, 중고등부는 별도 파악하여 입력</t>
    <phoneticPr fontId="9" type="noConversion"/>
  </si>
  <si>
    <t>계</t>
    <phoneticPr fontId="9" type="noConversion"/>
  </si>
  <si>
    <t>윤나영</t>
  </si>
  <si>
    <t>김창명</t>
  </si>
  <si>
    <t>이경옥</t>
  </si>
  <si>
    <t>정니영</t>
  </si>
  <si>
    <t>김명선</t>
  </si>
  <si>
    <t>정양선</t>
  </si>
  <si>
    <t>최영욱</t>
  </si>
  <si>
    <t>이예인</t>
  </si>
  <si>
    <t>오상진</t>
  </si>
  <si>
    <t>김예솔</t>
  </si>
  <si>
    <t>조미경</t>
    <phoneticPr fontId="7" type="noConversion"/>
  </si>
  <si>
    <t>차경은</t>
    <phoneticPr fontId="7" type="noConversion"/>
  </si>
  <si>
    <t>차미나</t>
    <phoneticPr fontId="7" type="noConversion"/>
  </si>
  <si>
    <t>신현금</t>
    <phoneticPr fontId="7" type="noConversion"/>
  </si>
  <si>
    <t>노정희</t>
    <phoneticPr fontId="7" type="noConversion"/>
  </si>
  <si>
    <t>최경숙</t>
    <phoneticPr fontId="7" type="noConversion"/>
  </si>
  <si>
    <t>서금자</t>
    <phoneticPr fontId="7" type="noConversion"/>
  </si>
  <si>
    <t>이지영</t>
    <phoneticPr fontId="7" type="noConversion"/>
  </si>
  <si>
    <t>성명</t>
    <phoneticPr fontId="7" type="noConversion"/>
  </si>
  <si>
    <t>인도자</t>
    <phoneticPr fontId="7" type="noConversion"/>
  </si>
  <si>
    <t>배미숙</t>
    <phoneticPr fontId="7" type="noConversion"/>
  </si>
  <si>
    <t>이미화</t>
    <phoneticPr fontId="7" type="noConversion"/>
  </si>
  <si>
    <t>윤영희</t>
    <phoneticPr fontId="7" type="noConversion"/>
  </si>
  <si>
    <t>오은경</t>
    <phoneticPr fontId="7" type="noConversion"/>
  </si>
  <si>
    <t>인도자</t>
    <phoneticPr fontId="7" type="noConversion"/>
  </si>
  <si>
    <t>※ 새참자: 주소록에 등록되지 않은 분으로 주일에 성경강연회(인터넷) 말씀 또는 주일 말씀을 듣기위해 방문하신 분</t>
    <phoneticPr fontId="9" type="noConversion"/>
  </si>
  <si>
    <t>교회학교</t>
    <phoneticPr fontId="7" type="noConversion"/>
  </si>
  <si>
    <t>유초</t>
    <phoneticPr fontId="7" type="noConversion"/>
  </si>
  <si>
    <t>재적</t>
    <phoneticPr fontId="7" type="noConversion"/>
  </si>
  <si>
    <t>구역</t>
    <phoneticPr fontId="7" type="noConversion"/>
  </si>
  <si>
    <t>이순자</t>
    <phoneticPr fontId="7" type="noConversion"/>
  </si>
  <si>
    <t>박미옥</t>
    <phoneticPr fontId="7" type="noConversion"/>
  </si>
  <si>
    <t>한달 평균</t>
    <phoneticPr fontId="7" type="noConversion"/>
  </si>
  <si>
    <t>허수희</t>
    <phoneticPr fontId="7" type="noConversion"/>
  </si>
  <si>
    <t>송경애</t>
    <phoneticPr fontId="7" type="noConversion"/>
  </si>
  <si>
    <t>조수자</t>
    <phoneticPr fontId="7" type="noConversion"/>
  </si>
  <si>
    <t>황보혜</t>
    <phoneticPr fontId="7" type="noConversion"/>
  </si>
  <si>
    <t>평균</t>
    <phoneticPr fontId="7" type="noConversion"/>
  </si>
  <si>
    <t>김태형</t>
    <phoneticPr fontId="7" type="noConversion"/>
  </si>
  <si>
    <t>김창명</t>
    <phoneticPr fontId="7" type="noConversion"/>
  </si>
  <si>
    <t>송세영</t>
    <phoneticPr fontId="7" type="noConversion"/>
  </si>
  <si>
    <t>송기영</t>
    <phoneticPr fontId="7" type="noConversion"/>
  </si>
  <si>
    <t>양애란</t>
    <phoneticPr fontId="7" type="noConversion"/>
  </si>
  <si>
    <t>3차하계</t>
    <phoneticPr fontId="7" type="noConversion"/>
  </si>
  <si>
    <t>목서진</t>
    <phoneticPr fontId="7" type="noConversion"/>
  </si>
  <si>
    <t>하진</t>
    <phoneticPr fontId="7" type="noConversion"/>
  </si>
  <si>
    <t>손기성</t>
    <phoneticPr fontId="7" type="noConversion"/>
  </si>
  <si>
    <t>손정미</t>
    <phoneticPr fontId="7" type="noConversion"/>
  </si>
  <si>
    <t>김선희</t>
    <phoneticPr fontId="7" type="noConversion"/>
  </si>
  <si>
    <t>최경숙</t>
    <phoneticPr fontId="7" type="noConversion"/>
  </si>
  <si>
    <t>박지혜</t>
    <phoneticPr fontId="7" type="noConversion"/>
  </si>
  <si>
    <t>김성수</t>
    <phoneticPr fontId="7" type="noConversion"/>
  </si>
  <si>
    <t>이남경</t>
    <phoneticPr fontId="7" type="noConversion"/>
  </si>
  <si>
    <t>박성찬</t>
    <phoneticPr fontId="7" type="noConversion"/>
  </si>
  <si>
    <t>김광홍</t>
    <phoneticPr fontId="7" type="noConversion"/>
  </si>
  <si>
    <t>서영석</t>
    <phoneticPr fontId="7" type="noConversion"/>
  </si>
  <si>
    <t>정화옥</t>
    <phoneticPr fontId="7" type="noConversion"/>
  </si>
  <si>
    <t>손경희</t>
    <phoneticPr fontId="7" type="noConversion"/>
  </si>
  <si>
    <t>이윤정</t>
    <phoneticPr fontId="7" type="noConversion"/>
  </si>
  <si>
    <t>이숙이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</si>
</sst>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176" formatCode="mm&quot;월&quot;\ dd&quot;일&quot;"/>
  </numFmts>
  <fonts count="26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Tahoma"/>
      <family val="2"/>
    </font>
    <font>
      <sz val="8"/>
      <name val="돋움"/>
      <family val="3"/>
      <charset val="129"/>
    </font>
    <font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0" tint="-0.499984740745262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sz val="11"/>
      <color rgb="FF0000CC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2"/>
      <color theme="0" tint="-0.499984740745262"/>
      <name val="맑은 고딕"/>
      <family val="3"/>
      <charset val="129"/>
      <scheme val="minor"/>
    </font>
    <font>
      <b/>
      <sz val="12"/>
      <color theme="0" tint="-0.49998474074526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</font>
    <font>
      <b/>
      <sz val="12"/>
      <color rgb="FF0000CC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4" borderId="1" xfId="0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/>
    <xf numFmtId="0" fontId="3" fillId="4" borderId="2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/>
    <xf numFmtId="0" fontId="0" fillId="0" borderId="11" xfId="0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  <xf numFmtId="0" fontId="2" fillId="4" borderId="1" xfId="0" applyFont="1" applyFill="1" applyBorder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10" fillId="7" borderId="13" xfId="1" applyFont="1" applyFill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4" fillId="0" borderId="13" xfId="1" applyFont="1" applyBorder="1" applyAlignment="1">
      <alignment horizontal="left" vertical="center"/>
    </xf>
    <xf numFmtId="0" fontId="10" fillId="0" borderId="13" xfId="1" applyFont="1" applyBorder="1" applyAlignment="1">
      <alignment horizontal="left" vertical="center" indent="4"/>
    </xf>
    <xf numFmtId="0" fontId="10" fillId="0" borderId="18" xfId="1" applyFont="1" applyBorder="1" applyAlignment="1">
      <alignment horizontal="left" vertical="center" indent="4"/>
    </xf>
    <xf numFmtId="0" fontId="10" fillId="0" borderId="1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4" fillId="0" borderId="20" xfId="1" applyFont="1" applyBorder="1" applyAlignment="1">
      <alignment horizontal="center" vertical="center"/>
    </xf>
    <xf numFmtId="0" fontId="14" fillId="0" borderId="18" xfId="1" applyFont="1" applyBorder="1" applyAlignment="1">
      <alignment horizontal="left" vertical="center"/>
    </xf>
    <xf numFmtId="0" fontId="15" fillId="0" borderId="1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6" fillId="0" borderId="2" xfId="1" applyFont="1" applyBorder="1" applyAlignment="1">
      <alignment horizontal="center" vertical="center"/>
    </xf>
    <xf numFmtId="0" fontId="10" fillId="9" borderId="13" xfId="1" applyFont="1" applyFill="1" applyBorder="1" applyAlignment="1">
      <alignment horizontal="left" vertical="center" indent="4"/>
    </xf>
    <xf numFmtId="0" fontId="17" fillId="0" borderId="0" xfId="1" applyFont="1" applyAlignment="1">
      <alignment horizontal="center" vertical="center"/>
    </xf>
    <xf numFmtId="0" fontId="10" fillId="10" borderId="12" xfId="1" applyFont="1" applyFill="1" applyBorder="1" applyAlignment="1">
      <alignment horizontal="center" vertical="center"/>
    </xf>
    <xf numFmtId="0" fontId="10" fillId="10" borderId="13" xfId="1" applyFont="1" applyFill="1" applyBorder="1" applyAlignment="1">
      <alignment horizontal="center" vertical="center"/>
    </xf>
    <xf numFmtId="176" fontId="3" fillId="10" borderId="1" xfId="0" applyNumberFormat="1" applyFont="1" applyFill="1" applyBorder="1" applyAlignment="1">
      <alignment horizontal="center" vertical="center"/>
    </xf>
    <xf numFmtId="0" fontId="10" fillId="10" borderId="1" xfId="1" applyFont="1" applyFill="1" applyBorder="1" applyAlignment="1">
      <alignment horizontal="center" vertical="center"/>
    </xf>
    <xf numFmtId="0" fontId="10" fillId="9" borderId="11" xfId="1" applyFont="1" applyFill="1" applyBorder="1" applyAlignment="1">
      <alignment horizontal="center" vertical="center"/>
    </xf>
    <xf numFmtId="0" fontId="10" fillId="11" borderId="1" xfId="1" applyFont="1" applyFill="1" applyBorder="1" applyAlignment="1">
      <alignment horizontal="center" vertical="center"/>
    </xf>
    <xf numFmtId="0" fontId="12" fillId="8" borderId="1" xfId="1" applyFont="1" applyFill="1" applyBorder="1" applyAlignment="1">
      <alignment horizontal="center" vertical="center"/>
    </xf>
    <xf numFmtId="0" fontId="12" fillId="11" borderId="1" xfId="1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6" fontId="3" fillId="12" borderId="1" xfId="0" applyNumberFormat="1" applyFont="1" applyFill="1" applyBorder="1" applyAlignment="1">
      <alignment horizontal="center" vertical="center"/>
    </xf>
    <xf numFmtId="41" fontId="1" fillId="0" borderId="0" xfId="3" applyFont="1">
      <alignment vertical="center"/>
    </xf>
    <xf numFmtId="0" fontId="20" fillId="9" borderId="18" xfId="1" applyFont="1" applyFill="1" applyBorder="1" applyAlignment="1">
      <alignment horizontal="center" vertical="center"/>
    </xf>
    <xf numFmtId="0" fontId="12" fillId="9" borderId="11" xfId="1" applyFont="1" applyFill="1" applyBorder="1" applyAlignment="1">
      <alignment horizontal="center" vertical="center"/>
    </xf>
    <xf numFmtId="0" fontId="12" fillId="9" borderId="21" xfId="1" applyFont="1" applyFill="1" applyBorder="1" applyAlignment="1">
      <alignment horizontal="center" vertical="center"/>
    </xf>
    <xf numFmtId="0" fontId="20" fillId="9" borderId="1" xfId="1" applyFont="1" applyFill="1" applyBorder="1" applyAlignment="1">
      <alignment horizontal="center" vertical="center"/>
    </xf>
    <xf numFmtId="9" fontId="21" fillId="9" borderId="1" xfId="2" applyFont="1" applyFill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12" fillId="0" borderId="12" xfId="1" applyFont="1" applyBorder="1">
      <alignment vertical="center"/>
    </xf>
    <xf numFmtId="0" fontId="12" fillId="0" borderId="1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10" borderId="13" xfId="1" applyFont="1" applyFill="1" applyBorder="1" applyAlignment="1">
      <alignment horizontal="center" vertical="center"/>
    </xf>
    <xf numFmtId="41" fontId="23" fillId="10" borderId="1" xfId="3" applyFont="1" applyFill="1" applyBorder="1" applyAlignment="1">
      <alignment horizontal="center" vertical="center"/>
    </xf>
    <xf numFmtId="41" fontId="24" fillId="13" borderId="1" xfId="3" applyFont="1" applyFill="1" applyBorder="1" applyAlignment="1">
      <alignment vertical="center"/>
    </xf>
    <xf numFmtId="9" fontId="24" fillId="13" borderId="1" xfId="2" applyFont="1" applyFill="1" applyBorder="1" applyAlignment="1">
      <alignment vertical="center"/>
    </xf>
    <xf numFmtId="41" fontId="24" fillId="14" borderId="1" xfId="3" applyFont="1" applyFill="1" applyBorder="1" applyAlignment="1">
      <alignment vertical="center"/>
    </xf>
    <xf numFmtId="41" fontId="25" fillId="13" borderId="1" xfId="3" applyFont="1" applyFill="1" applyBorder="1" applyAlignment="1">
      <alignment vertical="center"/>
    </xf>
    <xf numFmtId="3" fontId="12" fillId="9" borderId="11" xfId="1" applyNumberFormat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12" fillId="10" borderId="12" xfId="1" applyFont="1" applyFill="1" applyBorder="1" applyAlignment="1">
      <alignment horizontal="center" vertical="center"/>
    </xf>
    <xf numFmtId="0" fontId="12" fillId="10" borderId="19" xfId="1" applyFont="1" applyFill="1" applyBorder="1" applyAlignment="1">
      <alignment horizontal="center" vertical="center"/>
    </xf>
    <xf numFmtId="0" fontId="12" fillId="10" borderId="13" xfId="1" applyFont="1" applyFill="1" applyBorder="1" applyAlignment="1">
      <alignment horizontal="center" vertical="center"/>
    </xf>
    <xf numFmtId="0" fontId="12" fillId="9" borderId="20" xfId="1" applyFont="1" applyFill="1" applyBorder="1" applyAlignment="1">
      <alignment horizontal="center" vertical="center"/>
    </xf>
    <xf numFmtId="0" fontId="12" fillId="9" borderId="17" xfId="1" applyFont="1" applyFill="1" applyBorder="1" applyAlignment="1">
      <alignment horizontal="center" vertical="center"/>
    </xf>
    <xf numFmtId="0" fontId="20" fillId="9" borderId="1" xfId="1" applyFont="1" applyFill="1" applyBorder="1" applyAlignment="1">
      <alignment horizontal="center" vertical="center"/>
    </xf>
    <xf numFmtId="0" fontId="12" fillId="0" borderId="20" xfId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2" fillId="11" borderId="20" xfId="1" applyFont="1" applyFill="1" applyBorder="1" applyAlignment="1">
      <alignment horizontal="center" vertical="center"/>
    </xf>
    <xf numFmtId="0" fontId="12" fillId="11" borderId="17" xfId="1" applyFont="1" applyFill="1" applyBorder="1" applyAlignment="1">
      <alignment horizontal="center" vertical="center"/>
    </xf>
    <xf numFmtId="0" fontId="12" fillId="11" borderId="18" xfId="1" applyFont="1" applyFill="1" applyBorder="1" applyAlignment="1">
      <alignment horizontal="center" vertical="center"/>
    </xf>
    <xf numFmtId="0" fontId="13" fillId="0" borderId="17" xfId="1" applyFont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17" fillId="0" borderId="0" xfId="1" applyFont="1" applyAlignment="1">
      <alignment horizontal="center" vertical="center"/>
    </xf>
    <xf numFmtId="0" fontId="10" fillId="10" borderId="12" xfId="1" applyFont="1" applyFill="1" applyBorder="1" applyAlignment="1">
      <alignment horizontal="center" vertical="center"/>
    </xf>
    <xf numFmtId="0" fontId="10" fillId="10" borderId="13" xfId="1" applyFont="1" applyFill="1" applyBorder="1" applyAlignment="1">
      <alignment horizontal="center" vertical="center"/>
    </xf>
    <xf numFmtId="0" fontId="10" fillId="11" borderId="12" xfId="1" applyFont="1" applyFill="1" applyBorder="1" applyAlignment="1">
      <alignment horizontal="center" vertical="center"/>
    </xf>
    <xf numFmtId="0" fontId="10" fillId="11" borderId="19" xfId="1" applyFont="1" applyFill="1" applyBorder="1" applyAlignment="1">
      <alignment horizontal="center" vertical="center"/>
    </xf>
    <xf numFmtId="0" fontId="10" fillId="11" borderId="13" xfId="1" applyFont="1" applyFill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9" xfId="1" applyFont="1" applyFill="1" applyBorder="1" applyAlignment="1">
      <alignment horizontal="center" vertical="center"/>
    </xf>
    <xf numFmtId="0" fontId="12" fillId="8" borderId="13" xfId="1" applyFont="1" applyFill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7" borderId="12" xfId="1" applyFont="1" applyFill="1" applyBorder="1" applyAlignment="1">
      <alignment horizontal="center" vertical="center"/>
    </xf>
    <xf numFmtId="0" fontId="10" fillId="7" borderId="19" xfId="1" applyFont="1" applyFill="1" applyBorder="1" applyAlignment="1">
      <alignment horizontal="center" vertical="center"/>
    </xf>
    <xf numFmtId="0" fontId="10" fillId="7" borderId="13" xfId="1" applyFont="1" applyFill="1" applyBorder="1" applyAlignment="1">
      <alignment horizontal="center" vertical="center"/>
    </xf>
    <xf numFmtId="0" fontId="12" fillId="11" borderId="12" xfId="1" applyFont="1" applyFill="1" applyBorder="1" applyAlignment="1">
      <alignment horizontal="center" vertical="center"/>
    </xf>
    <xf numFmtId="0" fontId="12" fillId="11" borderId="19" xfId="1" applyFont="1" applyFill="1" applyBorder="1" applyAlignment="1">
      <alignment horizontal="center" vertical="center"/>
    </xf>
    <xf numFmtId="0" fontId="12" fillId="11" borderId="13" xfId="1" applyFont="1" applyFill="1" applyBorder="1" applyAlignment="1">
      <alignment horizontal="center" vertical="center"/>
    </xf>
    <xf numFmtId="0" fontId="10" fillId="10" borderId="19" xfId="1" applyFont="1" applyFill="1" applyBorder="1" applyAlignment="1">
      <alignment horizontal="center" vertical="center"/>
    </xf>
    <xf numFmtId="0" fontId="10" fillId="9" borderId="20" xfId="1" applyFont="1" applyFill="1" applyBorder="1" applyAlignment="1">
      <alignment horizontal="center" vertical="center"/>
    </xf>
    <xf numFmtId="0" fontId="10" fillId="9" borderId="17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1" fillId="0" borderId="0" xfId="1" applyAlignment="1">
      <alignment vertical="center"/>
    </xf>
    <xf numFmtId="0" fontId="17" fillId="0" borderId="0" xfId="1" applyFont="1" applyAlignment="1">
      <alignment vertical="center"/>
    </xf>
  </cellXfs>
  <cellStyles count="4">
    <cellStyle name="백분율" xfId="2" builtinId="5"/>
    <cellStyle name="쉼표 [0]" xfId="3" builtinId="6"/>
    <cellStyle name="표준" xfId="0" builtinId="0"/>
    <cellStyle name="표준 2" xfId="1" xr:uid="{4C498C5C-2ADA-4C6F-BA11-3B8EC8EE7E03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Medium9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/>
              <a:t>주일 성도  참석자  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'26년1~3월'!$E$16:$Q$16</c:f>
              <c:numCache>
                <c:formatCode>mm"월"\ dd"일"</c:formatCode>
                <c:ptCount val="13"/>
                <c:pt idx="0">
                  <c:v>45661</c:v>
                </c:pt>
                <c:pt idx="1">
                  <c:v>45668</c:v>
                </c:pt>
                <c:pt idx="2">
                  <c:v>45675</c:v>
                </c:pt>
                <c:pt idx="3">
                  <c:v>45682</c:v>
                </c:pt>
                <c:pt idx="4">
                  <c:v>45689</c:v>
                </c:pt>
                <c:pt idx="5">
                  <c:v>45696</c:v>
                </c:pt>
                <c:pt idx="6">
                  <c:v>45703</c:v>
                </c:pt>
                <c:pt idx="7">
                  <c:v>45710</c:v>
                </c:pt>
                <c:pt idx="8">
                  <c:v>45717</c:v>
                </c:pt>
                <c:pt idx="9">
                  <c:v>45724</c:v>
                </c:pt>
                <c:pt idx="10">
                  <c:v>45731</c:v>
                </c:pt>
                <c:pt idx="11">
                  <c:v>45738</c:v>
                </c:pt>
                <c:pt idx="12">
                  <c:v>45745</c:v>
                </c:pt>
              </c:numCache>
            </c:numRef>
          </c:cat>
          <c:val>
            <c:numRef>
              <c:f>'26년1~3월'!$E$30:$Q$30</c:f>
              <c:numCache>
                <c:formatCode>General</c:formatCode>
                <c:ptCount val="13"/>
                <c:pt idx="0">
                  <c:v>244</c:v>
                </c:pt>
                <c:pt idx="1">
                  <c:v>246</c:v>
                </c:pt>
                <c:pt idx="2">
                  <c:v>251</c:v>
                </c:pt>
                <c:pt idx="3">
                  <c:v>265</c:v>
                </c:pt>
                <c:pt idx="4">
                  <c:v>245</c:v>
                </c:pt>
                <c:pt idx="5">
                  <c:v>247</c:v>
                </c:pt>
                <c:pt idx="6">
                  <c:v>244</c:v>
                </c:pt>
                <c:pt idx="7">
                  <c:v>238</c:v>
                </c:pt>
                <c:pt idx="8">
                  <c:v>244</c:v>
                </c:pt>
                <c:pt idx="9">
                  <c:v>243</c:v>
                </c:pt>
                <c:pt idx="10">
                  <c:v>249</c:v>
                </c:pt>
                <c:pt idx="11">
                  <c:v>251</c:v>
                </c:pt>
                <c:pt idx="12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F-4EC2-9138-5B6FC4CE0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294200"/>
        <c:axId val="703284840"/>
      </c:lineChart>
      <c:dateAx>
        <c:axId val="703294200"/>
        <c:scaling>
          <c:orientation val="minMax"/>
        </c:scaling>
        <c:delete val="1"/>
        <c:axPos val="b"/>
        <c:numFmt formatCode="@" sourceLinked="0"/>
        <c:majorTickMark val="none"/>
        <c:minorTickMark val="none"/>
        <c:tickLblPos val="nextTo"/>
        <c:crossAx val="703284840"/>
        <c:crosses val="autoZero"/>
        <c:auto val="0"/>
        <c:lblOffset val="100"/>
        <c:baseTimeUnit val="days"/>
      </c:dateAx>
      <c:valAx>
        <c:axId val="703284840"/>
        <c:scaling>
          <c:orientation val="minMax"/>
          <c:max val="280"/>
          <c:min val="2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3294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/>
              <a:t>주일 성도  참석  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'26년4~5월'!$E$13:$L$13</c:f>
              <c:numCache>
                <c:formatCode>mm"월"\ dd"일"</c:formatCode>
                <c:ptCount val="8"/>
                <c:pt idx="0">
                  <c:v>45752</c:v>
                </c:pt>
                <c:pt idx="1">
                  <c:v>45759</c:v>
                </c:pt>
                <c:pt idx="2">
                  <c:v>45766</c:v>
                </c:pt>
                <c:pt idx="3">
                  <c:v>45773</c:v>
                </c:pt>
                <c:pt idx="4">
                  <c:v>45780</c:v>
                </c:pt>
                <c:pt idx="5">
                  <c:v>45787</c:v>
                </c:pt>
                <c:pt idx="6">
                  <c:v>45794</c:v>
                </c:pt>
                <c:pt idx="7">
                  <c:v>45801</c:v>
                </c:pt>
              </c:numCache>
            </c:numRef>
          </c:cat>
          <c:val>
            <c:numRef>
              <c:f>'26년4~5월'!$E$27:$L$27</c:f>
              <c:numCache>
                <c:formatCode>General</c:formatCode>
                <c:ptCount val="8"/>
                <c:pt idx="0">
                  <c:v>226</c:v>
                </c:pt>
                <c:pt idx="1">
                  <c:v>226</c:v>
                </c:pt>
                <c:pt idx="2">
                  <c:v>243</c:v>
                </c:pt>
                <c:pt idx="3">
                  <c:v>236</c:v>
                </c:pt>
                <c:pt idx="4">
                  <c:v>226</c:v>
                </c:pt>
                <c:pt idx="5">
                  <c:v>228</c:v>
                </c:pt>
                <c:pt idx="6">
                  <c:v>241</c:v>
                </c:pt>
                <c:pt idx="7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33-494E-8531-BB12FAAB6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294200"/>
        <c:axId val="703284840"/>
      </c:lineChart>
      <c:dateAx>
        <c:axId val="703294200"/>
        <c:scaling>
          <c:orientation val="minMax"/>
        </c:scaling>
        <c:delete val="1"/>
        <c:axPos val="b"/>
        <c:numFmt formatCode="@" sourceLinked="0"/>
        <c:majorTickMark val="none"/>
        <c:minorTickMark val="none"/>
        <c:tickLblPos val="nextTo"/>
        <c:crossAx val="703284840"/>
        <c:crosses val="autoZero"/>
        <c:auto val="0"/>
        <c:lblOffset val="100"/>
        <c:baseTimeUnit val="days"/>
      </c:dateAx>
      <c:valAx>
        <c:axId val="703284840"/>
        <c:scaling>
          <c:orientation val="minMax"/>
          <c:max val="270"/>
          <c:min val="2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32942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b="1"/>
              <a:t>주일 새참자  참석  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'26년4~5월'!$E$39:$L$39</c:f>
              <c:numCache>
                <c:formatCode>mm"월"\ dd"일"</c:formatCode>
                <c:ptCount val="8"/>
                <c:pt idx="0">
                  <c:v>45752</c:v>
                </c:pt>
                <c:pt idx="1">
                  <c:v>45759</c:v>
                </c:pt>
                <c:pt idx="2">
                  <c:v>45766</c:v>
                </c:pt>
                <c:pt idx="3">
                  <c:v>45773</c:v>
                </c:pt>
                <c:pt idx="4">
                  <c:v>45780</c:v>
                </c:pt>
                <c:pt idx="5">
                  <c:v>45787</c:v>
                </c:pt>
                <c:pt idx="6">
                  <c:v>45794</c:v>
                </c:pt>
                <c:pt idx="7">
                  <c:v>45801</c:v>
                </c:pt>
              </c:numCache>
            </c:numRef>
          </c:cat>
          <c:val>
            <c:numRef>
              <c:f>'26년4~5월'!$E$61:$L$61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10</c:v>
                </c:pt>
                <c:pt idx="5">
                  <c:v>3</c:v>
                </c:pt>
                <c:pt idx="6">
                  <c:v>5</c:v>
                </c:pt>
                <c:pt idx="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9B-49B2-AB68-E822EC60E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294200"/>
        <c:axId val="703284840"/>
      </c:lineChart>
      <c:dateAx>
        <c:axId val="703294200"/>
        <c:scaling>
          <c:orientation val="minMax"/>
        </c:scaling>
        <c:delete val="1"/>
        <c:axPos val="b"/>
        <c:numFmt formatCode="@" sourceLinked="0"/>
        <c:majorTickMark val="none"/>
        <c:minorTickMark val="none"/>
        <c:tickLblPos val="nextTo"/>
        <c:crossAx val="703284840"/>
        <c:crosses val="autoZero"/>
        <c:auto val="0"/>
        <c:lblOffset val="100"/>
        <c:baseTimeUnit val="days"/>
      </c:dateAx>
      <c:valAx>
        <c:axId val="703284840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3294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주일 성도  참석  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3.11542395228766E-2"/>
                  <c:y val="-8.66459854906080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D3-4EAE-9042-27AB4FF0C1F0}"/>
                </c:ext>
              </c:extLst>
            </c:dLbl>
            <c:dLbl>
              <c:idx val="3"/>
              <c:layout>
                <c:manualLayout>
                  <c:x val="-3.7414020430544773E-2"/>
                  <c:y val="8.51668617661924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D3-4EAE-9042-27AB4FF0C1F0}"/>
                </c:ext>
              </c:extLst>
            </c:dLbl>
            <c:dLbl>
              <c:idx val="4"/>
              <c:layout>
                <c:manualLayout>
                  <c:x val="-3.1154239522876541E-2"/>
                  <c:y val="8.51668617661924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FD3-4EAE-9042-27AB4FF0C1F0}"/>
                </c:ext>
              </c:extLst>
            </c:dLbl>
            <c:dLbl>
              <c:idx val="6"/>
              <c:layout>
                <c:manualLayout>
                  <c:x val="-8.7060244230034618E-3"/>
                  <c:y val="8.03942826757257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D3-4EAE-9042-27AB4FF0C1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'26년5~6월'!$G$13:$Q$13</c:f>
              <c:numCache>
                <c:formatCode>mm"월"\ dd"일"</c:formatCode>
                <c:ptCount val="7"/>
                <c:pt idx="0">
                  <c:v>45780</c:v>
                </c:pt>
                <c:pt idx="1">
                  <c:v>45787</c:v>
                </c:pt>
                <c:pt idx="2">
                  <c:v>45794</c:v>
                </c:pt>
                <c:pt idx="3">
                  <c:v>45801</c:v>
                </c:pt>
                <c:pt idx="4">
                  <c:v>45808</c:v>
                </c:pt>
                <c:pt idx="5">
                  <c:v>45815</c:v>
                </c:pt>
                <c:pt idx="6">
                  <c:v>45822</c:v>
                </c:pt>
              </c:numCache>
            </c:numRef>
          </c:cat>
          <c:val>
            <c:numRef>
              <c:f>'26년5~6월'!$G$28:$Q$28</c:f>
              <c:numCache>
                <c:formatCode>General</c:formatCode>
                <c:ptCount val="7"/>
                <c:pt idx="0">
                  <c:v>226</c:v>
                </c:pt>
                <c:pt idx="1">
                  <c:v>228</c:v>
                </c:pt>
                <c:pt idx="2">
                  <c:v>241</c:v>
                </c:pt>
                <c:pt idx="3">
                  <c:v>235</c:v>
                </c:pt>
                <c:pt idx="4">
                  <c:v>235</c:v>
                </c:pt>
                <c:pt idx="5">
                  <c:v>248</c:v>
                </c:pt>
                <c:pt idx="6">
                  <c:v>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D3-4EAE-9042-27AB4FF0C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294200"/>
        <c:axId val="703284840"/>
      </c:lineChart>
      <c:dateAx>
        <c:axId val="703294200"/>
        <c:scaling>
          <c:orientation val="minMax"/>
        </c:scaling>
        <c:delete val="1"/>
        <c:axPos val="b"/>
        <c:numFmt formatCode="@" sourceLinked="0"/>
        <c:majorTickMark val="none"/>
        <c:minorTickMark val="none"/>
        <c:tickLblPos val="nextTo"/>
        <c:crossAx val="703284840"/>
        <c:crosses val="autoZero"/>
        <c:auto val="0"/>
        <c:lblOffset val="100"/>
        <c:baseTimeUnit val="days"/>
      </c:dateAx>
      <c:valAx>
        <c:axId val="703284840"/>
        <c:scaling>
          <c:orientation val="minMax"/>
          <c:max val="260"/>
          <c:min val="2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32942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주일 새참자  참석  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'26년5~6월'!$K$42:$S$42</c:f>
              <c:numCache>
                <c:formatCode>mm"월"\ dd"일"</c:formatCode>
                <c:ptCount val="7"/>
                <c:pt idx="0">
                  <c:v>45780</c:v>
                </c:pt>
                <c:pt idx="1">
                  <c:v>45787</c:v>
                </c:pt>
                <c:pt idx="2">
                  <c:v>45794</c:v>
                </c:pt>
                <c:pt idx="3">
                  <c:v>45801</c:v>
                </c:pt>
                <c:pt idx="4">
                  <c:v>45808</c:v>
                </c:pt>
                <c:pt idx="5">
                  <c:v>45815</c:v>
                </c:pt>
                <c:pt idx="6">
                  <c:v>45822</c:v>
                </c:pt>
              </c:numCache>
            </c:numRef>
          </c:cat>
          <c:val>
            <c:numRef>
              <c:f>'26년5~6월'!$K$59:$S$59</c:f>
              <c:numCache>
                <c:formatCode>General</c:formatCode>
                <c:ptCount val="7"/>
                <c:pt idx="0">
                  <c:v>10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E-4D5B-8DB8-759267CF1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294200"/>
        <c:axId val="703284840"/>
      </c:lineChart>
      <c:dateAx>
        <c:axId val="703294200"/>
        <c:scaling>
          <c:orientation val="minMax"/>
        </c:scaling>
        <c:delete val="1"/>
        <c:axPos val="b"/>
        <c:numFmt formatCode="@" sourceLinked="0"/>
        <c:majorTickMark val="none"/>
        <c:minorTickMark val="none"/>
        <c:tickLblPos val="nextTo"/>
        <c:crossAx val="703284840"/>
        <c:crosses val="autoZero"/>
        <c:auto val="0"/>
        <c:lblOffset val="100"/>
        <c:baseTimeUnit val="days"/>
      </c:dateAx>
      <c:valAx>
        <c:axId val="703284840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3294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주일 성도  참석  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3.11542395228766E-2"/>
                  <c:y val="-8.66459854906080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89-4D49-9ED2-026638145785}"/>
                </c:ext>
              </c:extLst>
            </c:dLbl>
            <c:dLbl>
              <c:idx val="3"/>
              <c:layout>
                <c:manualLayout>
                  <c:x val="-3.7414020430544773E-2"/>
                  <c:y val="8.51668617661924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89-4D49-9ED2-026638145785}"/>
                </c:ext>
              </c:extLst>
            </c:dLbl>
            <c:dLbl>
              <c:idx val="4"/>
              <c:layout>
                <c:manualLayout>
                  <c:x val="-3.1154239522876541E-2"/>
                  <c:y val="8.51668617661924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89-4D49-9ED2-026638145785}"/>
                </c:ext>
              </c:extLst>
            </c:dLbl>
            <c:dLbl>
              <c:idx val="6"/>
              <c:layout>
                <c:manualLayout>
                  <c:x val="-8.7060244230034618E-3"/>
                  <c:y val="8.03942826757257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89-4D49-9ED2-0266381457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'26년5~7월'!$G$13:$U$13</c:f>
              <c:numCache>
                <c:formatCode>mm"월"\ dd"일"</c:formatCode>
                <c:ptCount val="11"/>
                <c:pt idx="0">
                  <c:v>46145</c:v>
                </c:pt>
                <c:pt idx="1">
                  <c:v>46152</c:v>
                </c:pt>
                <c:pt idx="2">
                  <c:v>46159</c:v>
                </c:pt>
                <c:pt idx="3">
                  <c:v>46166</c:v>
                </c:pt>
                <c:pt idx="4">
                  <c:v>46173</c:v>
                </c:pt>
                <c:pt idx="5">
                  <c:v>46180</c:v>
                </c:pt>
                <c:pt idx="6">
                  <c:v>46187</c:v>
                </c:pt>
                <c:pt idx="7">
                  <c:v>46194</c:v>
                </c:pt>
                <c:pt idx="8">
                  <c:v>46201</c:v>
                </c:pt>
                <c:pt idx="9">
                  <c:v>46208</c:v>
                </c:pt>
                <c:pt idx="10">
                  <c:v>46215</c:v>
                </c:pt>
              </c:numCache>
            </c:numRef>
          </c:cat>
          <c:val>
            <c:numRef>
              <c:f>'26년5~7월'!$G$28:$U$28</c:f>
              <c:numCache>
                <c:formatCode>General</c:formatCode>
                <c:ptCount val="11"/>
                <c:pt idx="0">
                  <c:v>226</c:v>
                </c:pt>
                <c:pt idx="1">
                  <c:v>228</c:v>
                </c:pt>
                <c:pt idx="2">
                  <c:v>241</c:v>
                </c:pt>
                <c:pt idx="3">
                  <c:v>235</c:v>
                </c:pt>
                <c:pt idx="4">
                  <c:v>235</c:v>
                </c:pt>
                <c:pt idx="5">
                  <c:v>250</c:v>
                </c:pt>
                <c:pt idx="6">
                  <c:v>234</c:v>
                </c:pt>
                <c:pt idx="7">
                  <c:v>227</c:v>
                </c:pt>
                <c:pt idx="8">
                  <c:v>233</c:v>
                </c:pt>
                <c:pt idx="9">
                  <c:v>242</c:v>
                </c:pt>
                <c:pt idx="10">
                  <c:v>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6-478F-B934-491A57771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294200"/>
        <c:axId val="703284840"/>
      </c:lineChart>
      <c:dateAx>
        <c:axId val="703294200"/>
        <c:scaling>
          <c:orientation val="minMax"/>
        </c:scaling>
        <c:delete val="1"/>
        <c:axPos val="b"/>
        <c:numFmt formatCode="@" sourceLinked="0"/>
        <c:majorTickMark val="none"/>
        <c:minorTickMark val="none"/>
        <c:tickLblPos val="nextTo"/>
        <c:crossAx val="703284840"/>
        <c:crosses val="autoZero"/>
        <c:auto val="0"/>
        <c:lblOffset val="100"/>
        <c:baseTimeUnit val="days"/>
      </c:dateAx>
      <c:valAx>
        <c:axId val="703284840"/>
        <c:scaling>
          <c:orientation val="minMax"/>
          <c:max val="260"/>
          <c:min val="2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32942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주일 새참자  참석  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'26년5~7월'!$K$42:$U$42</c:f>
              <c:numCache>
                <c:formatCode>mm"월"\ dd"일"</c:formatCode>
                <c:ptCount val="11"/>
                <c:pt idx="0">
                  <c:v>46145</c:v>
                </c:pt>
                <c:pt idx="1">
                  <c:v>46152</c:v>
                </c:pt>
                <c:pt idx="2">
                  <c:v>46159</c:v>
                </c:pt>
                <c:pt idx="3">
                  <c:v>46166</c:v>
                </c:pt>
                <c:pt idx="4">
                  <c:v>46173</c:v>
                </c:pt>
                <c:pt idx="5">
                  <c:v>46180</c:v>
                </c:pt>
                <c:pt idx="6">
                  <c:v>46187</c:v>
                </c:pt>
                <c:pt idx="7">
                  <c:v>46194</c:v>
                </c:pt>
                <c:pt idx="8">
                  <c:v>46201</c:v>
                </c:pt>
                <c:pt idx="9">
                  <c:v>46208</c:v>
                </c:pt>
                <c:pt idx="10">
                  <c:v>46215</c:v>
                </c:pt>
              </c:numCache>
            </c:numRef>
          </c:cat>
          <c:val>
            <c:numRef>
              <c:f>'26년5~7월'!$K$68:$U$68</c:f>
              <c:numCache>
                <c:formatCode>General</c:formatCode>
                <c:ptCount val="11"/>
                <c:pt idx="0">
                  <c:v>10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6</c:v>
                </c:pt>
                <c:pt idx="9">
                  <c:v>5</c:v>
                </c:pt>
                <c:pt idx="1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4-4C25-8984-3252E751E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294200"/>
        <c:axId val="703284840"/>
      </c:lineChart>
      <c:dateAx>
        <c:axId val="703294200"/>
        <c:scaling>
          <c:orientation val="minMax"/>
        </c:scaling>
        <c:delete val="1"/>
        <c:axPos val="b"/>
        <c:numFmt formatCode="@" sourceLinked="0"/>
        <c:majorTickMark val="none"/>
        <c:minorTickMark val="none"/>
        <c:tickLblPos val="nextTo"/>
        <c:crossAx val="703284840"/>
        <c:crosses val="autoZero"/>
        <c:auto val="0"/>
        <c:lblOffset val="100"/>
        <c:baseTimeUnit val="days"/>
      </c:dateAx>
      <c:valAx>
        <c:axId val="703284840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3294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주일 성도  참석  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3.11542395228766E-2"/>
                  <c:y val="-8.66459854906080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192-480B-90F1-DCA3029A25F1}"/>
                </c:ext>
              </c:extLst>
            </c:dLbl>
            <c:dLbl>
              <c:idx val="3"/>
              <c:layout>
                <c:manualLayout>
                  <c:x val="-3.7414020430544773E-2"/>
                  <c:y val="8.51668617661924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92-480B-90F1-DCA3029A25F1}"/>
                </c:ext>
              </c:extLst>
            </c:dLbl>
            <c:dLbl>
              <c:idx val="4"/>
              <c:layout>
                <c:manualLayout>
                  <c:x val="-3.1154239522876541E-2"/>
                  <c:y val="8.51668617661924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92-480B-90F1-DCA3029A25F1}"/>
                </c:ext>
              </c:extLst>
            </c:dLbl>
            <c:dLbl>
              <c:idx val="6"/>
              <c:layout>
                <c:manualLayout>
                  <c:x val="-8.7060244230034618E-3"/>
                  <c:y val="8.03942826757257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92-480B-90F1-DCA3029A25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'26년6~8월'!$G$13:$R$13</c:f>
              <c:strCache>
                <c:ptCount val="12"/>
                <c:pt idx="0">
                  <c:v>06월 07일</c:v>
                </c:pt>
                <c:pt idx="1">
                  <c:v>06월 14일</c:v>
                </c:pt>
                <c:pt idx="2">
                  <c:v>06월 21일</c:v>
                </c:pt>
                <c:pt idx="3">
                  <c:v>06월 28일</c:v>
                </c:pt>
                <c:pt idx="4">
                  <c:v>07월 05일</c:v>
                </c:pt>
                <c:pt idx="5">
                  <c:v>07월 12일</c:v>
                </c:pt>
                <c:pt idx="6">
                  <c:v>07월 19일</c:v>
                </c:pt>
                <c:pt idx="7">
                  <c:v>3차하계</c:v>
                </c:pt>
                <c:pt idx="8">
                  <c:v>08월 02일</c:v>
                </c:pt>
                <c:pt idx="9">
                  <c:v>08월 09일</c:v>
                </c:pt>
                <c:pt idx="10">
                  <c:v>08월 16일</c:v>
                </c:pt>
                <c:pt idx="11">
                  <c:v>08월 23일</c:v>
                </c:pt>
              </c:strCache>
            </c:strRef>
          </c:cat>
          <c:val>
            <c:numRef>
              <c:f>'26년6~8월'!$G$28:$R$28</c:f>
              <c:numCache>
                <c:formatCode>General</c:formatCode>
                <c:ptCount val="12"/>
                <c:pt idx="0">
                  <c:v>250</c:v>
                </c:pt>
                <c:pt idx="1">
                  <c:v>234</c:v>
                </c:pt>
                <c:pt idx="2">
                  <c:v>227</c:v>
                </c:pt>
                <c:pt idx="3">
                  <c:v>233</c:v>
                </c:pt>
                <c:pt idx="4">
                  <c:v>242</c:v>
                </c:pt>
                <c:pt idx="5">
                  <c:v>249</c:v>
                </c:pt>
                <c:pt idx="6">
                  <c:v>255</c:v>
                </c:pt>
                <c:pt idx="7">
                  <c:v>230</c:v>
                </c:pt>
                <c:pt idx="8">
                  <c:v>238</c:v>
                </c:pt>
                <c:pt idx="9">
                  <c:v>248</c:v>
                </c:pt>
                <c:pt idx="10">
                  <c:v>228</c:v>
                </c:pt>
                <c:pt idx="11">
                  <c:v>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92-480B-90F1-DCA3029A2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294200"/>
        <c:axId val="703284840"/>
      </c:lineChart>
      <c:dateAx>
        <c:axId val="703294200"/>
        <c:scaling>
          <c:orientation val="minMax"/>
        </c:scaling>
        <c:delete val="1"/>
        <c:axPos val="b"/>
        <c:numFmt formatCode="@" sourceLinked="0"/>
        <c:majorTickMark val="none"/>
        <c:minorTickMark val="none"/>
        <c:tickLblPos val="nextTo"/>
        <c:crossAx val="703284840"/>
        <c:crosses val="autoZero"/>
        <c:auto val="0"/>
        <c:lblOffset val="100"/>
        <c:baseTimeUnit val="days"/>
      </c:dateAx>
      <c:valAx>
        <c:axId val="703284840"/>
        <c:scaling>
          <c:orientation val="minMax"/>
          <c:max val="260"/>
          <c:min val="2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329420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000" b="1"/>
              <a:t>주일 새참자  참석  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'26년6~8월'!$G$42:$R$42</c:f>
              <c:strCache>
                <c:ptCount val="12"/>
                <c:pt idx="0">
                  <c:v>06월 07일</c:v>
                </c:pt>
                <c:pt idx="1">
                  <c:v>06월 14일</c:v>
                </c:pt>
                <c:pt idx="2">
                  <c:v>06월 21일</c:v>
                </c:pt>
                <c:pt idx="3">
                  <c:v>06월 28일</c:v>
                </c:pt>
                <c:pt idx="4">
                  <c:v>07월 05일</c:v>
                </c:pt>
                <c:pt idx="5">
                  <c:v>07월 12일</c:v>
                </c:pt>
                <c:pt idx="6">
                  <c:v>07월 19일</c:v>
                </c:pt>
                <c:pt idx="7">
                  <c:v>3차하계</c:v>
                </c:pt>
                <c:pt idx="8">
                  <c:v>08월 02일</c:v>
                </c:pt>
                <c:pt idx="9">
                  <c:v>08월 09일</c:v>
                </c:pt>
                <c:pt idx="10">
                  <c:v>08월 16일</c:v>
                </c:pt>
                <c:pt idx="11">
                  <c:v>08월 23일</c:v>
                </c:pt>
              </c:strCache>
            </c:strRef>
          </c:cat>
          <c:val>
            <c:numRef>
              <c:f>'26년6~8월'!$G$78:$R$78</c:f>
              <c:numCache>
                <c:formatCode>General</c:formatCode>
                <c:ptCount val="12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9</c:v>
                </c:pt>
                <c:pt idx="8">
                  <c:v>9</c:v>
                </c:pt>
                <c:pt idx="9">
                  <c:v>14</c:v>
                </c:pt>
                <c:pt idx="10">
                  <c:v>14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E6-4DCD-AF67-08F9BA9C1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294200"/>
        <c:axId val="703284840"/>
      </c:lineChart>
      <c:dateAx>
        <c:axId val="703294200"/>
        <c:scaling>
          <c:orientation val="minMax"/>
        </c:scaling>
        <c:delete val="1"/>
        <c:axPos val="b"/>
        <c:numFmt formatCode="@" sourceLinked="0"/>
        <c:majorTickMark val="none"/>
        <c:minorTickMark val="none"/>
        <c:tickLblPos val="nextTo"/>
        <c:crossAx val="703284840"/>
        <c:crosses val="autoZero"/>
        <c:auto val="0"/>
        <c:lblOffset val="100"/>
        <c:baseTimeUnit val="days"/>
      </c:dateAx>
      <c:valAx>
        <c:axId val="703284840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3294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0</xdr:row>
      <xdr:rowOff>0</xdr:rowOff>
    </xdr:from>
    <xdr:to>
      <xdr:col>17</xdr:col>
      <xdr:colOff>0</xdr:colOff>
      <xdr:row>13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C5A62FB-0B46-4422-A909-4CABB7797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0</xdr:row>
      <xdr:rowOff>0</xdr:rowOff>
    </xdr:from>
    <xdr:to>
      <xdr:col>12</xdr:col>
      <xdr:colOff>0</xdr:colOff>
      <xdr:row>11</xdr:row>
      <xdr:rowOff>99392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EE14323-5822-48D7-9CB1-C62F19125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662608</xdr:colOff>
      <xdr:row>28</xdr:row>
      <xdr:rowOff>36857</xdr:rowOff>
    </xdr:from>
    <xdr:to>
      <xdr:col>11</xdr:col>
      <xdr:colOff>778565</xdr:colOff>
      <xdr:row>37</xdr:row>
      <xdr:rowOff>182217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EBEBB07-A3BB-48E0-84C8-2671FC0DD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0</xdr:row>
      <xdr:rowOff>112645</xdr:rowOff>
    </xdr:from>
    <xdr:to>
      <xdr:col>19</xdr:col>
      <xdr:colOff>1013460</xdr:colOff>
      <xdr:row>11</xdr:row>
      <xdr:rowOff>510540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D90BD6E-E249-485B-A860-E044F8CEC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</xdr:colOff>
      <xdr:row>31</xdr:row>
      <xdr:rowOff>36857</xdr:rowOff>
    </xdr:from>
    <xdr:to>
      <xdr:col>17</xdr:col>
      <xdr:colOff>0</xdr:colOff>
      <xdr:row>40</xdr:row>
      <xdr:rowOff>182217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07E46C8-592F-4879-892D-03E879CCF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12589</xdr:colOff>
      <xdr:row>8</xdr:row>
      <xdr:rowOff>127883</xdr:rowOff>
    </xdr:from>
    <xdr:to>
      <xdr:col>19</xdr:col>
      <xdr:colOff>967409</xdr:colOff>
      <xdr:row>8</xdr:row>
      <xdr:rowOff>134509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3E7DF0C8-AC4B-49E4-A6FD-0A92A0CFA3E0}"/>
            </a:ext>
          </a:extLst>
        </xdr:cNvPr>
        <xdr:cNvCxnSpPr/>
      </xdr:nvCxnSpPr>
      <xdr:spPr>
        <a:xfrm>
          <a:off x="4424569" y="1773803"/>
          <a:ext cx="3911380" cy="6626"/>
        </a:xfrm>
        <a:prstGeom prst="line">
          <a:avLst/>
        </a:prstGeom>
        <a:ln w="25400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</xdr:colOff>
      <xdr:row>0</xdr:row>
      <xdr:rowOff>112645</xdr:rowOff>
    </xdr:from>
    <xdr:to>
      <xdr:col>20</xdr:col>
      <xdr:colOff>693420</xdr:colOff>
      <xdr:row>11</xdr:row>
      <xdr:rowOff>510540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26CC8ED-958C-495A-88F2-581468E0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</xdr:colOff>
      <xdr:row>31</xdr:row>
      <xdr:rowOff>36857</xdr:rowOff>
    </xdr:from>
    <xdr:to>
      <xdr:col>20</xdr:col>
      <xdr:colOff>731520</xdr:colOff>
      <xdr:row>40</xdr:row>
      <xdr:rowOff>182217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A5C507F-B8C2-47F0-8175-F463195A6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7619</xdr:colOff>
      <xdr:row>0</xdr:row>
      <xdr:rowOff>112645</xdr:rowOff>
    </xdr:from>
    <xdr:to>
      <xdr:col>18</xdr:col>
      <xdr:colOff>31750</xdr:colOff>
      <xdr:row>11</xdr:row>
      <xdr:rowOff>510540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3261AC5-F810-4D58-8F84-A08DB5CD8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30480</xdr:colOff>
      <xdr:row>31</xdr:row>
      <xdr:rowOff>36857</xdr:rowOff>
    </xdr:from>
    <xdr:to>
      <xdr:col>19</xdr:col>
      <xdr:colOff>0</xdr:colOff>
      <xdr:row>40</xdr:row>
      <xdr:rowOff>182217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2409FB2-AA88-4E16-9554-EE01A6F38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6456-D15E-44DE-984C-D5EAFE5F1714}">
  <dimension ref="A14:Q33"/>
  <sheetViews>
    <sheetView showGridLines="0" workbookViewId="0">
      <selection activeCell="K24" sqref="K24"/>
    </sheetView>
  </sheetViews>
  <sheetFormatPr defaultColWidth="9" defaultRowHeight="16.5" x14ac:dyDescent="0.3"/>
  <cols>
    <col min="1" max="2" width="10.625" style="28" customWidth="1"/>
    <col min="3" max="3" width="7.25" style="28" customWidth="1"/>
    <col min="4" max="4" width="9.125" style="28" bestFit="1" customWidth="1"/>
    <col min="5" max="9" width="10.625" style="28" customWidth="1"/>
    <col min="10" max="17" width="10.625" style="29" customWidth="1"/>
    <col min="18" max="16384" width="9" style="29"/>
  </cols>
  <sheetData>
    <row r="14" spans="1:17" ht="4.5" customHeight="1" x14ac:dyDescent="0.3"/>
    <row r="15" spans="1:17" ht="31.5" hidden="1" customHeight="1" thickBot="1" x14ac:dyDescent="0.35">
      <c r="A15" s="119" t="s">
        <v>334</v>
      </c>
      <c r="B15" s="120"/>
      <c r="C15" s="120"/>
      <c r="D15" s="120"/>
      <c r="E15" s="120"/>
      <c r="F15" s="120"/>
      <c r="G15" s="120"/>
      <c r="H15" s="120"/>
      <c r="I15" s="121"/>
    </row>
    <row r="16" spans="1:17" x14ac:dyDescent="0.3">
      <c r="A16" s="123" t="s">
        <v>346</v>
      </c>
      <c r="B16" s="124"/>
      <c r="C16" s="125"/>
      <c r="D16" s="32" t="s">
        <v>341</v>
      </c>
      <c r="E16" s="6">
        <v>45661</v>
      </c>
      <c r="F16" s="6">
        <v>45668</v>
      </c>
      <c r="G16" s="6">
        <v>45675</v>
      </c>
      <c r="H16" s="6">
        <v>45682</v>
      </c>
      <c r="I16" s="6">
        <v>45689</v>
      </c>
      <c r="J16" s="6">
        <v>45696</v>
      </c>
      <c r="K16" s="6">
        <v>45703</v>
      </c>
      <c r="L16" s="6">
        <v>45710</v>
      </c>
      <c r="M16" s="6">
        <v>45717</v>
      </c>
      <c r="N16" s="6">
        <v>45724</v>
      </c>
      <c r="O16" s="6">
        <v>45731</v>
      </c>
      <c r="P16" s="6">
        <v>45738</v>
      </c>
      <c r="Q16" s="6">
        <v>45745</v>
      </c>
    </row>
    <row r="17" spans="1:17" x14ac:dyDescent="0.3">
      <c r="A17" s="115" t="s">
        <v>342</v>
      </c>
      <c r="B17" s="115"/>
      <c r="C17" s="115"/>
      <c r="D17" s="38"/>
      <c r="E17" s="33">
        <f>SUMIF(data_주일!I$11:I$303,1,data_주일!I$11:I$303)</f>
        <v>209</v>
      </c>
      <c r="F17" s="33">
        <f>SUMIF(data_주일!J$11:J$303,1,data_주일!J$11:J$303)</f>
        <v>214</v>
      </c>
      <c r="G17" s="33">
        <f>SUMIF(data_주일!K$11:K$303,1,data_주일!K$11:K$303)</f>
        <v>217</v>
      </c>
      <c r="H17" s="33">
        <f>SUMIF(data_주일!L$11:L$303,1,data_주일!L$11:L$303)</f>
        <v>229</v>
      </c>
      <c r="I17" s="33">
        <f>SUMIF(data_주일!M$11:M$303,1,data_주일!M$11:M$303)</f>
        <v>214</v>
      </c>
      <c r="J17" s="33">
        <f>SUMIF(data_주일!N$11:N$303,1,data_주일!N$11:N$303)</f>
        <v>216</v>
      </c>
      <c r="K17" s="44">
        <f>SUM(K18:K27)</f>
        <v>212</v>
      </c>
      <c r="L17" s="33">
        <f>SUMIF(data_주일!P$11:P$303,1,data_주일!P$11:P$303)</f>
        <v>209</v>
      </c>
      <c r="M17" s="33">
        <f>SUMIF(data_주일!Q$11:Q$303,1,data_주일!Q$11:Q$303)</f>
        <v>218</v>
      </c>
      <c r="N17" s="33">
        <f>SUMIF(data_주일!R$11:R$303,1,data_주일!R$11:R$303)</f>
        <v>211</v>
      </c>
      <c r="O17" s="33">
        <f>SUMIF(data_주일!S$11:S$303,1,data_주일!S$11:S$303)</f>
        <v>218</v>
      </c>
      <c r="P17" s="33">
        <f>SUMIF(data_주일!T$11:T$303,1,data_주일!T$11:T$303)</f>
        <v>221</v>
      </c>
      <c r="Q17" s="33">
        <f>SUMIF(data_주일!U$11:U$303,1,data_주일!U$11:U$303)</f>
        <v>213</v>
      </c>
    </row>
    <row r="18" spans="1:17" x14ac:dyDescent="0.3">
      <c r="A18" s="33"/>
      <c r="B18" s="36">
        <v>11</v>
      </c>
      <c r="C18" s="37" t="s">
        <v>345</v>
      </c>
      <c r="D18" s="37" t="s">
        <v>347</v>
      </c>
      <c r="E18" s="35">
        <f>IF(SUMIF(data_주일!$B$11:$B$303,$B18,data_주일!I$11:I$303)&gt;0,SUMIF(data_주일!$B$11:$B$303,$B18,data_주일!I$11:I$303),"")</f>
        <v>24</v>
      </c>
      <c r="F18" s="35">
        <f>IF(SUMIF(data_주일!$B$11:$B$303,$B18,data_주일!J$11:J$303)&gt;0,SUMIF(data_주일!$B$11:$B$303,$B18,data_주일!J$11:J$303),"")</f>
        <v>24</v>
      </c>
      <c r="G18" s="35">
        <f>IF(SUMIF(data_주일!$B$11:$B$303,$B18,data_주일!K$11:K$303)&gt;0,SUMIF(data_주일!$B$11:$B$303,$B18,data_주일!K$11:K$303),"")</f>
        <v>27</v>
      </c>
      <c r="H18" s="35">
        <f>IF(SUMIF(data_주일!$B$11:$B$303,$B18,data_주일!L$11:L$303)&gt;0,SUMIF(data_주일!$B$11:$B$303,$B18,data_주일!L$11:L$303),"")</f>
        <v>29</v>
      </c>
      <c r="I18" s="35">
        <f>IF(SUMIF(data_주일!$B$11:$B$303,$B18,data_주일!M$11:M$303)&gt;0,SUMIF(data_주일!$B$11:$B$303,$B18,data_주일!M$11:M$303),"")</f>
        <v>26</v>
      </c>
      <c r="J18" s="35">
        <f>IF(SUMIF(data_주일!$B$11:$B$303,$B18,data_주일!N$11:N$303)&gt;0,SUMIF(data_주일!$B$11:$B$303,$B18,data_주일!N$11:N$303),"")</f>
        <v>26</v>
      </c>
      <c r="K18" s="45">
        <f t="shared" ref="K18:K29" si="0">ROUNDDOWN(AVERAGE(E18:J18),0)</f>
        <v>26</v>
      </c>
      <c r="L18" s="35">
        <f>IF(SUMIF(data_주일!$B$11:$B$303,$B18,data_주일!P$11:P$303)&gt;0,SUMIF(data_주일!$B$11:$B$303,$B18,data_주일!P$11:P$303),"")</f>
        <v>26</v>
      </c>
      <c r="M18" s="35">
        <f>IF(SUMIF(data_주일!$B$11:$B$303,$B18,data_주일!Q$11:Q$303)&gt;0,SUMIF(data_주일!$B$11:$B$303,$B18,data_주일!Q$11:Q$303),"")</f>
        <v>26</v>
      </c>
      <c r="N18" s="35">
        <f>IF(SUMIF(data_주일!$B$11:$B$303,$B18,data_주일!R$11:R$303)&gt;0,SUMIF(data_주일!$B$11:$B$303,$B18,data_주일!R$11:R$303),"")</f>
        <v>23</v>
      </c>
      <c r="O18" s="35">
        <f>IF(SUMIF(data_주일!$B$11:$B$303,$B18,data_주일!S$11:S$303)&gt;0,SUMIF(data_주일!$B$11:$B$303,$B18,data_주일!S$11:S$303),"")</f>
        <v>28</v>
      </c>
      <c r="P18" s="35">
        <f>IF(SUMIF(data_주일!$B$11:$B$303,$B18,data_주일!T$11:T$303)&gt;0,SUMIF(data_주일!$B$11:$B$303,$B18,data_주일!T$11:T$303),"")</f>
        <v>26</v>
      </c>
      <c r="Q18" s="35">
        <f>IF(SUMIF(data_주일!$B$11:$B$303,$B18,data_주일!U$11:U$303)&gt;0,SUMIF(data_주일!$B$11:$B$303,$B18,data_주일!U$11:U$303),"")</f>
        <v>24</v>
      </c>
    </row>
    <row r="19" spans="1:17" x14ac:dyDescent="0.3">
      <c r="A19" s="33"/>
      <c r="B19" s="36">
        <v>12</v>
      </c>
      <c r="C19" s="37" t="s">
        <v>345</v>
      </c>
      <c r="D19" s="37" t="s">
        <v>348</v>
      </c>
      <c r="E19" s="35">
        <f>IF(SUMIF(data_주일!$B$11:$B$303,$B19,data_주일!I$11:I$303)&gt;0,SUMIF(data_주일!$B$11:$B$303,$B19,data_주일!I$11:I$303),"")</f>
        <v>25</v>
      </c>
      <c r="F19" s="35">
        <f>IF(SUMIF(data_주일!$B$11:$B$303,$B19,data_주일!J$11:J$303)&gt;0,SUMIF(data_주일!$B$11:$B$303,$B19,data_주일!J$11:J$303),"")</f>
        <v>26</v>
      </c>
      <c r="G19" s="35">
        <f>IF(SUMIF(data_주일!$B$11:$B$303,$B19,data_주일!K$11:K$303)&gt;0,SUMIF(data_주일!$B$11:$B$303,$B19,data_주일!K$11:K$303),"")</f>
        <v>24</v>
      </c>
      <c r="H19" s="35">
        <f>IF(SUMIF(data_주일!$B$11:$B$303,$B19,data_주일!L$11:L$303)&gt;0,SUMIF(data_주일!$B$11:$B$303,$B19,data_주일!L$11:L$303),"")</f>
        <v>27</v>
      </c>
      <c r="I19" s="35">
        <f>IF(SUMIF(data_주일!$B$11:$B$303,$B19,data_주일!M$11:M$303)&gt;0,SUMIF(data_주일!$B$11:$B$303,$B19,data_주일!M$11:M$303),"")</f>
        <v>26</v>
      </c>
      <c r="J19" s="35">
        <f>IF(SUMIF(data_주일!$B$11:$B$303,$B19,data_주일!N$11:N$303)&gt;0,SUMIF(data_주일!$B$11:$B$303,$B19,data_주일!N$11:N$303),"")</f>
        <v>26</v>
      </c>
      <c r="K19" s="45">
        <f t="shared" si="0"/>
        <v>25</v>
      </c>
      <c r="L19" s="35">
        <f>IF(SUMIF(data_주일!$B$11:$B$303,$B19,data_주일!P$11:P$303)&gt;0,SUMIF(data_주일!$B$11:$B$303,$B19,data_주일!P$11:P$303),"")</f>
        <v>24</v>
      </c>
      <c r="M19" s="35">
        <f>IF(SUMIF(data_주일!$B$11:$B$303,$B19,data_주일!Q$11:Q$303)&gt;0,SUMIF(data_주일!$B$11:$B$303,$B19,data_주일!Q$11:Q$303),"")</f>
        <v>25</v>
      </c>
      <c r="N19" s="35">
        <f>IF(SUMIF(data_주일!$B$11:$B$303,$B19,data_주일!R$11:R$303)&gt;0,SUMIF(data_주일!$B$11:$B$303,$B19,data_주일!R$11:R$303),"")</f>
        <v>24</v>
      </c>
      <c r="O19" s="35">
        <f>IF(SUMIF(data_주일!$B$11:$B$303,$B19,data_주일!S$11:S$303)&gt;0,SUMIF(data_주일!$B$11:$B$303,$B19,data_주일!S$11:S$303),"")</f>
        <v>27</v>
      </c>
      <c r="P19" s="35">
        <f>IF(SUMIF(data_주일!$B$11:$B$303,$B19,data_주일!T$11:T$303)&gt;0,SUMIF(data_주일!$B$11:$B$303,$B19,data_주일!T$11:T$303),"")</f>
        <v>27</v>
      </c>
      <c r="Q19" s="35">
        <f>IF(SUMIF(data_주일!$B$11:$B$303,$B19,data_주일!U$11:U$303)&gt;0,SUMIF(data_주일!$B$11:$B$303,$B19,data_주일!U$11:U$303),"")</f>
        <v>28</v>
      </c>
    </row>
    <row r="20" spans="1:17" x14ac:dyDescent="0.3">
      <c r="A20" s="33"/>
      <c r="B20" s="36">
        <v>21</v>
      </c>
      <c r="C20" s="37" t="s">
        <v>345</v>
      </c>
      <c r="D20" s="37" t="s">
        <v>349</v>
      </c>
      <c r="E20" s="35">
        <f>IF(SUMIF(data_주일!$B$11:$B$303,$B20,data_주일!I$11:I$303)&gt;0,SUMIF(data_주일!$B$11:$B$303,$B20,data_주일!I$11:I$303),"")</f>
        <v>21</v>
      </c>
      <c r="F20" s="35">
        <f>IF(SUMIF(data_주일!$B$11:$B$303,$B20,data_주일!J$11:J$303)&gt;0,SUMIF(data_주일!$B$11:$B$303,$B20,data_주일!J$11:J$303),"")</f>
        <v>24</v>
      </c>
      <c r="G20" s="35">
        <f>IF(SUMIF(data_주일!$B$11:$B$303,$B20,data_주일!K$11:K$303)&gt;0,SUMIF(data_주일!$B$11:$B$303,$B20,data_주일!K$11:K$303),"")</f>
        <v>26</v>
      </c>
      <c r="H20" s="35">
        <f>IF(SUMIF(data_주일!$B$11:$B$303,$B20,data_주일!L$11:L$303)&gt;0,SUMIF(data_주일!$B$11:$B$303,$B20,data_주일!L$11:L$303),"")</f>
        <v>23</v>
      </c>
      <c r="I20" s="35">
        <f>IF(SUMIF(data_주일!$B$11:$B$303,$B20,data_주일!M$11:M$303)&gt;0,SUMIF(data_주일!$B$11:$B$303,$B20,data_주일!M$11:M$303),"")</f>
        <v>23</v>
      </c>
      <c r="J20" s="35">
        <f>IF(SUMIF(data_주일!$B$11:$B$303,$B20,data_주일!N$11:N$303)&gt;0,SUMIF(data_주일!$B$11:$B$303,$B20,data_주일!N$11:N$303),"")</f>
        <v>22</v>
      </c>
      <c r="K20" s="45">
        <f t="shared" si="0"/>
        <v>23</v>
      </c>
      <c r="L20" s="35">
        <f>IF(SUMIF(data_주일!$B$11:$B$303,$B20,data_주일!P$11:P$303)&gt;0,SUMIF(data_주일!$B$11:$B$303,$B20,data_주일!P$11:P$303),"")</f>
        <v>22</v>
      </c>
      <c r="M20" s="35">
        <f>IF(SUMIF(data_주일!$B$11:$B$303,$B20,data_주일!Q$11:Q$303)&gt;0,SUMIF(data_주일!$B$11:$B$303,$B20,data_주일!Q$11:Q$303),"")</f>
        <v>25</v>
      </c>
      <c r="N20" s="35">
        <f>IF(SUMIF(data_주일!$B$11:$B$303,$B20,data_주일!R$11:R$303)&gt;0,SUMIF(data_주일!$B$11:$B$303,$B20,data_주일!R$11:R$303),"")</f>
        <v>22</v>
      </c>
      <c r="O20" s="35">
        <f>IF(SUMIF(data_주일!$B$11:$B$303,$B20,data_주일!S$11:S$303)&gt;0,SUMIF(data_주일!$B$11:$B$303,$B20,data_주일!S$11:S$303),"")</f>
        <v>20</v>
      </c>
      <c r="P20" s="35">
        <f>IF(SUMIF(data_주일!$B$11:$B$303,$B20,data_주일!T$11:T$303)&gt;0,SUMIF(data_주일!$B$11:$B$303,$B20,data_주일!T$11:T$303),"")</f>
        <v>22</v>
      </c>
      <c r="Q20" s="35">
        <f>IF(SUMIF(data_주일!$B$11:$B$303,$B20,data_주일!U$11:U$303)&gt;0,SUMIF(data_주일!$B$11:$B$303,$B20,data_주일!U$11:U$303),"")</f>
        <v>22</v>
      </c>
    </row>
    <row r="21" spans="1:17" x14ac:dyDescent="0.3">
      <c r="A21" s="33"/>
      <c r="B21" s="36">
        <v>22</v>
      </c>
      <c r="C21" s="37" t="s">
        <v>345</v>
      </c>
      <c r="D21" s="37" t="s">
        <v>350</v>
      </c>
      <c r="E21" s="35">
        <f>IF(SUMIF(data_주일!$B$11:$B$303,$B21,data_주일!I$11:I$303)&gt;0,SUMIF(data_주일!$B$11:$B$303,$B21,data_주일!I$11:I$303),"")</f>
        <v>15</v>
      </c>
      <c r="F21" s="35">
        <f>IF(SUMIF(data_주일!$B$11:$B$303,$B21,data_주일!J$11:J$303)&gt;0,SUMIF(data_주일!$B$11:$B$303,$B21,data_주일!J$11:J$303),"")</f>
        <v>16</v>
      </c>
      <c r="G21" s="35">
        <f>IF(SUMIF(data_주일!$B$11:$B$303,$B21,data_주일!K$11:K$303)&gt;0,SUMIF(data_주일!$B$11:$B$303,$B21,data_주일!K$11:K$303),"")</f>
        <v>16</v>
      </c>
      <c r="H21" s="35">
        <f>IF(SUMIF(data_주일!$B$11:$B$303,$B21,data_주일!L$11:L$303)&gt;0,SUMIF(data_주일!$B$11:$B$303,$B21,data_주일!L$11:L$303),"")</f>
        <v>17</v>
      </c>
      <c r="I21" s="35">
        <f>IF(SUMIF(data_주일!$B$11:$B$303,$B21,data_주일!M$11:M$303)&gt;0,SUMIF(data_주일!$B$11:$B$303,$B21,data_주일!M$11:M$303),"")</f>
        <v>17</v>
      </c>
      <c r="J21" s="35">
        <f>IF(SUMIF(data_주일!$B$11:$B$303,$B21,data_주일!N$11:N$303)&gt;0,SUMIF(data_주일!$B$11:$B$303,$B21,data_주일!N$11:N$303),"")</f>
        <v>19</v>
      </c>
      <c r="K21" s="45">
        <f t="shared" si="0"/>
        <v>16</v>
      </c>
      <c r="L21" s="35">
        <f>IF(SUMIF(data_주일!$B$11:$B$303,$B21,data_주일!P$11:P$303)&gt;0,SUMIF(data_주일!$B$11:$B$303,$B21,data_주일!P$11:P$303),"")</f>
        <v>17</v>
      </c>
      <c r="M21" s="35">
        <f>IF(SUMIF(data_주일!$B$11:$B$303,$B21,data_주일!Q$11:Q$303)&gt;0,SUMIF(data_주일!$B$11:$B$303,$B21,data_주일!Q$11:Q$303),"")</f>
        <v>20</v>
      </c>
      <c r="N21" s="35">
        <f>IF(SUMIF(data_주일!$B$11:$B$303,$B21,data_주일!R$11:R$303)&gt;0,SUMIF(data_주일!$B$11:$B$303,$B21,data_주일!R$11:R$303),"")</f>
        <v>20</v>
      </c>
      <c r="O21" s="35">
        <f>IF(SUMIF(data_주일!$B$11:$B$303,$B21,data_주일!S$11:S$303)&gt;0,SUMIF(data_주일!$B$11:$B$303,$B21,data_주일!S$11:S$303),"")</f>
        <v>19</v>
      </c>
      <c r="P21" s="35">
        <f>IF(SUMIF(data_주일!$B$11:$B$303,$B21,data_주일!T$11:T$303)&gt;0,SUMIF(data_주일!$B$11:$B$303,$B21,data_주일!T$11:T$303),"")</f>
        <v>20</v>
      </c>
      <c r="Q21" s="35">
        <f>IF(SUMIF(data_주일!$B$11:$B$303,$B21,data_주일!U$11:U$303)&gt;0,SUMIF(data_주일!$B$11:$B$303,$B21,data_주일!U$11:U$303),"")</f>
        <v>17</v>
      </c>
    </row>
    <row r="22" spans="1:17" x14ac:dyDescent="0.3">
      <c r="A22" s="33"/>
      <c r="B22" s="36">
        <v>31</v>
      </c>
      <c r="C22" s="37" t="s">
        <v>345</v>
      </c>
      <c r="D22" s="37" t="s">
        <v>351</v>
      </c>
      <c r="E22" s="35">
        <f>IF(SUMIF(data_주일!$B$11:$B$303,$B22,data_주일!I$11:I$303)&gt;0,SUMIF(data_주일!$B$11:$B$303,$B22,data_주일!I$11:I$303),"")</f>
        <v>29</v>
      </c>
      <c r="F22" s="35">
        <f>IF(SUMIF(data_주일!$B$11:$B$303,$B22,data_주일!J$11:J$303)&gt;0,SUMIF(data_주일!$B$11:$B$303,$B22,data_주일!J$11:J$303),"")</f>
        <v>25</v>
      </c>
      <c r="G22" s="35">
        <f>IF(SUMIF(data_주일!$B$11:$B$303,$B22,data_주일!K$11:K$303)&gt;0,SUMIF(data_주일!$B$11:$B$303,$B22,data_주일!K$11:K$303),"")</f>
        <v>26</v>
      </c>
      <c r="H22" s="35">
        <f>IF(SUMIF(data_주일!$B$11:$B$303,$B22,data_주일!L$11:L$303)&gt;0,SUMIF(data_주일!$B$11:$B$303,$B22,data_주일!L$11:L$303),"")</f>
        <v>28</v>
      </c>
      <c r="I22" s="35">
        <f>IF(SUMIF(data_주일!$B$11:$B$303,$B22,data_주일!M$11:M$303)&gt;0,SUMIF(data_주일!$B$11:$B$303,$B22,data_주일!M$11:M$303),"")</f>
        <v>24</v>
      </c>
      <c r="J22" s="35">
        <f>IF(SUMIF(data_주일!$B$11:$B$303,$B22,data_주일!N$11:N$303)&gt;0,SUMIF(data_주일!$B$11:$B$303,$B22,data_주일!N$11:N$303),"")</f>
        <v>28</v>
      </c>
      <c r="K22" s="45">
        <f t="shared" si="0"/>
        <v>26</v>
      </c>
      <c r="L22" s="35">
        <f>IF(SUMIF(data_주일!$B$11:$B$303,$B22,data_주일!P$11:P$303)&gt;0,SUMIF(data_주일!$B$11:$B$303,$B22,data_주일!P$11:P$303),"")</f>
        <v>26</v>
      </c>
      <c r="M22" s="35">
        <f>IF(SUMIF(data_주일!$B$11:$B$303,$B22,data_주일!Q$11:Q$303)&gt;0,SUMIF(data_주일!$B$11:$B$303,$B22,data_주일!Q$11:Q$303),"")</f>
        <v>25</v>
      </c>
      <c r="N22" s="35">
        <f>IF(SUMIF(data_주일!$B$11:$B$303,$B22,data_주일!R$11:R$303)&gt;0,SUMIF(data_주일!$B$11:$B$303,$B22,data_주일!R$11:R$303),"")</f>
        <v>20</v>
      </c>
      <c r="O22" s="35">
        <f>IF(SUMIF(data_주일!$B$11:$B$303,$B22,data_주일!S$11:S$303)&gt;0,SUMIF(data_주일!$B$11:$B$303,$B22,data_주일!S$11:S$303),"")</f>
        <v>23</v>
      </c>
      <c r="P22" s="35">
        <f>IF(SUMIF(data_주일!$B$11:$B$303,$B22,data_주일!T$11:T$303)&gt;0,SUMIF(data_주일!$B$11:$B$303,$B22,data_주일!T$11:T$303),"")</f>
        <v>26</v>
      </c>
      <c r="Q22" s="35">
        <f>IF(SUMIF(data_주일!$B$11:$B$303,$B22,data_주일!U$11:U$303)&gt;0,SUMIF(data_주일!$B$11:$B$303,$B22,data_주일!U$11:U$303),"")</f>
        <v>24</v>
      </c>
    </row>
    <row r="23" spans="1:17" x14ac:dyDescent="0.3">
      <c r="A23" s="33"/>
      <c r="B23" s="36">
        <v>32</v>
      </c>
      <c r="C23" s="37" t="s">
        <v>345</v>
      </c>
      <c r="D23" s="37" t="s">
        <v>352</v>
      </c>
      <c r="E23" s="35">
        <f>IF(SUMIF(data_주일!$B$11:$B$303,$B23,data_주일!I$11:I$303)&gt;0,SUMIF(data_주일!$B$11:$B$303,$B23,data_주일!I$11:I$303),"")</f>
        <v>23</v>
      </c>
      <c r="F23" s="35">
        <f>IF(SUMIF(data_주일!$B$11:$B$303,$B23,data_주일!J$11:J$303)&gt;0,SUMIF(data_주일!$B$11:$B$303,$B23,data_주일!J$11:J$303),"")</f>
        <v>24</v>
      </c>
      <c r="G23" s="35">
        <f>IF(SUMIF(data_주일!$B$11:$B$303,$B23,data_주일!K$11:K$303)&gt;0,SUMIF(data_주일!$B$11:$B$303,$B23,data_주일!K$11:K$303),"")</f>
        <v>26</v>
      </c>
      <c r="H23" s="35">
        <f>IF(SUMIF(data_주일!$B$11:$B$303,$B23,data_주일!L$11:L$303)&gt;0,SUMIF(data_주일!$B$11:$B$303,$B23,data_주일!L$11:L$303),"")</f>
        <v>25</v>
      </c>
      <c r="I23" s="35">
        <f>IF(SUMIF(data_주일!$B$11:$B$303,$B23,data_주일!M$11:M$303)&gt;0,SUMIF(data_주일!$B$11:$B$303,$B23,data_주일!M$11:M$303),"")</f>
        <v>21</v>
      </c>
      <c r="J23" s="35">
        <f>IF(SUMIF(data_주일!$B$11:$B$303,$B23,data_주일!N$11:N$303)&gt;0,SUMIF(data_주일!$B$11:$B$303,$B23,data_주일!N$11:N$303),"")</f>
        <v>27</v>
      </c>
      <c r="K23" s="45">
        <f t="shared" si="0"/>
        <v>24</v>
      </c>
      <c r="L23" s="35">
        <f>IF(SUMIF(data_주일!$B$11:$B$303,$B23,data_주일!P$11:P$303)&gt;0,SUMIF(data_주일!$B$11:$B$303,$B23,data_주일!P$11:P$303),"")</f>
        <v>23</v>
      </c>
      <c r="M23" s="35">
        <f>IF(SUMIF(data_주일!$B$11:$B$303,$B23,data_주일!Q$11:Q$303)&gt;0,SUMIF(data_주일!$B$11:$B$303,$B23,data_주일!Q$11:Q$303),"")</f>
        <v>21</v>
      </c>
      <c r="N23" s="35">
        <f>IF(SUMIF(data_주일!$B$11:$B$303,$B23,data_주일!R$11:R$303)&gt;0,SUMIF(data_주일!$B$11:$B$303,$B23,data_주일!R$11:R$303),"")</f>
        <v>26</v>
      </c>
      <c r="O23" s="35">
        <f>IF(SUMIF(data_주일!$B$11:$B$303,$B23,data_주일!S$11:S$303)&gt;0,SUMIF(data_주일!$B$11:$B$303,$B23,data_주일!S$11:S$303),"")</f>
        <v>26</v>
      </c>
      <c r="P23" s="35">
        <f>IF(SUMIF(data_주일!$B$11:$B$303,$B23,data_주일!T$11:T$303)&gt;0,SUMIF(data_주일!$B$11:$B$303,$B23,data_주일!T$11:T$303),"")</f>
        <v>26</v>
      </c>
      <c r="Q23" s="35">
        <f>IF(SUMIF(data_주일!$B$11:$B$303,$B23,data_주일!U$11:U$303)&gt;0,SUMIF(data_주일!$B$11:$B$303,$B23,data_주일!U$11:U$303),"")</f>
        <v>25</v>
      </c>
    </row>
    <row r="24" spans="1:17" x14ac:dyDescent="0.3">
      <c r="A24" s="33"/>
      <c r="B24" s="36">
        <v>33</v>
      </c>
      <c r="C24" s="37" t="s">
        <v>345</v>
      </c>
      <c r="D24" s="37" t="s">
        <v>356</v>
      </c>
      <c r="E24" s="35">
        <f>IF(SUMIF(data_주일!$B$11:$B$303,$B24,data_주일!I$11:I$303)&gt;0,SUMIF(data_주일!$B$11:$B$303,$B24,data_주일!I$11:I$303),"")</f>
        <v>7</v>
      </c>
      <c r="F24" s="35">
        <f>IF(SUMIF(data_주일!$B$11:$B$303,$B24,data_주일!J$11:J$303)&gt;0,SUMIF(data_주일!$B$11:$B$303,$B24,data_주일!J$11:J$303),"")</f>
        <v>6</v>
      </c>
      <c r="G24" s="35">
        <f>IF(SUMIF(data_주일!$B$11:$B$303,$B24,data_주일!K$11:K$303)&gt;0,SUMIF(data_주일!$B$11:$B$303,$B24,data_주일!K$11:K$303),"")</f>
        <v>6</v>
      </c>
      <c r="H24" s="35">
        <f>IF(SUMIF(data_주일!$B$11:$B$303,$B24,data_주일!L$11:L$303)&gt;0,SUMIF(data_주일!$B$11:$B$303,$B24,data_주일!L$11:L$303),"")</f>
        <v>8</v>
      </c>
      <c r="I24" s="35">
        <f>IF(SUMIF(data_주일!$B$11:$B$303,$B24,data_주일!M$11:M$303)&gt;0,SUMIF(data_주일!$B$11:$B$303,$B24,data_주일!M$11:M$303),"")</f>
        <v>6</v>
      </c>
      <c r="J24" s="35">
        <f>IF(SUMIF(data_주일!$B$11:$B$303,$B24,data_주일!N$11:N$303)&gt;0,SUMIF(data_주일!$B$11:$B$303,$B24,data_주일!N$11:N$303),"")</f>
        <v>6</v>
      </c>
      <c r="K24" s="45">
        <f t="shared" si="0"/>
        <v>6</v>
      </c>
      <c r="L24" s="35">
        <f>IF(SUMIF(data_주일!$B$11:$B$303,$B24,data_주일!P$11:P$303)&gt;0,SUMIF(data_주일!$B$11:$B$303,$B24,data_주일!P$11:P$303),"")</f>
        <v>4</v>
      </c>
      <c r="M24" s="35">
        <f>IF(SUMIF(data_주일!$B$11:$B$303,$B24,data_주일!Q$11:Q$303)&gt;0,SUMIF(data_주일!$B$11:$B$303,$B24,data_주일!Q$11:Q$303),"")</f>
        <v>6</v>
      </c>
      <c r="N24" s="35">
        <f>IF(SUMIF(data_주일!$B$11:$B$303,$B24,data_주일!R$11:R$303)&gt;0,SUMIF(data_주일!$B$11:$B$303,$B24,data_주일!R$11:R$303),"")</f>
        <v>6</v>
      </c>
      <c r="O24" s="35">
        <f>IF(SUMIF(data_주일!$B$11:$B$303,$B24,data_주일!S$11:S$303)&gt;0,SUMIF(data_주일!$B$11:$B$303,$B24,data_주일!S$11:S$303),"")</f>
        <v>6</v>
      </c>
      <c r="P24" s="35">
        <f>IF(SUMIF(data_주일!$B$11:$B$303,$B24,data_주일!T$11:T$303)&gt;0,SUMIF(data_주일!$B$11:$B$303,$B24,data_주일!T$11:T$303),"")</f>
        <v>4</v>
      </c>
      <c r="Q24" s="35">
        <f>IF(SUMIF(data_주일!$B$11:$B$303,$B24,data_주일!U$11:U$303)&gt;0,SUMIF(data_주일!$B$11:$B$303,$B24,data_주일!U$11:U$303),"")</f>
        <v>4</v>
      </c>
    </row>
    <row r="25" spans="1:17" x14ac:dyDescent="0.3">
      <c r="A25" s="33"/>
      <c r="B25" s="36">
        <v>41</v>
      </c>
      <c r="C25" s="37" t="s">
        <v>345</v>
      </c>
      <c r="D25" s="37" t="s">
        <v>353</v>
      </c>
      <c r="E25" s="35">
        <f>IF(SUMIF(data_주일!$B$11:$B$303,$B25,data_주일!I$11:I$303)&gt;0,SUMIF(data_주일!$B$11:$B$303,$B25,data_주일!I$11:I$303),"")</f>
        <v>20</v>
      </c>
      <c r="F25" s="35">
        <f>IF(SUMIF(data_주일!$B$11:$B$303,$B25,data_주일!J$11:J$303)&gt;0,SUMIF(data_주일!$B$11:$B$303,$B25,data_주일!J$11:J$303),"")</f>
        <v>25</v>
      </c>
      <c r="G25" s="35">
        <f>IF(SUMIF(data_주일!$B$11:$B$303,$B25,data_주일!K$11:K$303)&gt;0,SUMIF(data_주일!$B$11:$B$303,$B25,data_주일!K$11:K$303),"")</f>
        <v>24</v>
      </c>
      <c r="H25" s="35">
        <f>IF(SUMIF(data_주일!$B$11:$B$303,$B25,data_주일!L$11:L$303)&gt;0,SUMIF(data_주일!$B$11:$B$303,$B25,data_주일!L$11:L$303),"")</f>
        <v>24</v>
      </c>
      <c r="I25" s="35">
        <f>IF(SUMIF(data_주일!$B$11:$B$303,$B25,data_주일!M$11:M$303)&gt;0,SUMIF(data_주일!$B$11:$B$303,$B25,data_주일!M$11:M$303),"")</f>
        <v>21</v>
      </c>
      <c r="J25" s="35">
        <f>IF(SUMIF(data_주일!$B$11:$B$303,$B25,data_주일!N$11:N$303)&gt;0,SUMIF(data_주일!$B$11:$B$303,$B25,data_주일!N$11:N$303),"")</f>
        <v>22</v>
      </c>
      <c r="K25" s="45">
        <f t="shared" si="0"/>
        <v>22</v>
      </c>
      <c r="L25" s="35">
        <f>IF(SUMIF(data_주일!$B$11:$B$303,$B25,data_주일!P$11:P$303)&gt;0,SUMIF(data_주일!$B$11:$B$303,$B25,data_주일!P$11:P$303),"")</f>
        <v>24</v>
      </c>
      <c r="M25" s="35">
        <f>IF(SUMIF(data_주일!$B$11:$B$303,$B25,data_주일!Q$11:Q$303)&gt;0,SUMIF(data_주일!$B$11:$B$303,$B25,data_주일!Q$11:Q$303),"")</f>
        <v>22</v>
      </c>
      <c r="N25" s="35">
        <f>IF(SUMIF(data_주일!$B$11:$B$303,$B25,data_주일!R$11:R$303)&gt;0,SUMIF(data_주일!$B$11:$B$303,$B25,data_주일!R$11:R$303),"")</f>
        <v>25</v>
      </c>
      <c r="O25" s="35">
        <f>IF(SUMIF(data_주일!$B$11:$B$303,$B25,data_주일!S$11:S$303)&gt;0,SUMIF(data_주일!$B$11:$B$303,$B25,data_주일!S$11:S$303),"")</f>
        <v>23</v>
      </c>
      <c r="P25" s="35">
        <f>IF(SUMIF(data_주일!$B$11:$B$303,$B25,data_주일!T$11:T$303)&gt;0,SUMIF(data_주일!$B$11:$B$303,$B25,data_주일!T$11:T$303),"")</f>
        <v>25</v>
      </c>
      <c r="Q25" s="35">
        <f>IF(SUMIF(data_주일!$B$11:$B$303,$B25,data_주일!U$11:U$303)&gt;0,SUMIF(data_주일!$B$11:$B$303,$B25,data_주일!U$11:U$303),"")</f>
        <v>26</v>
      </c>
    </row>
    <row r="26" spans="1:17" x14ac:dyDescent="0.3">
      <c r="A26" s="33"/>
      <c r="B26" s="36">
        <v>42</v>
      </c>
      <c r="C26" s="37" t="s">
        <v>345</v>
      </c>
      <c r="D26" s="37" t="s">
        <v>354</v>
      </c>
      <c r="E26" s="35">
        <f>IF(SUMIF(data_주일!$B$11:$B$303,$B26,data_주일!I$11:I$303)&gt;0,SUMIF(data_주일!$B$11:$B$303,$B26,data_주일!I$11:I$303),"")</f>
        <v>23</v>
      </c>
      <c r="F26" s="35">
        <f>IF(SUMIF(data_주일!$B$11:$B$303,$B26,data_주일!J$11:J$303)&gt;0,SUMIF(data_주일!$B$11:$B$303,$B26,data_주일!J$11:J$303),"")</f>
        <v>21</v>
      </c>
      <c r="G26" s="35">
        <f>IF(SUMIF(data_주일!$B$11:$B$303,$B26,data_주일!K$11:K$303)&gt;0,SUMIF(data_주일!$B$11:$B$303,$B26,data_주일!K$11:K$303),"")</f>
        <v>20</v>
      </c>
      <c r="H26" s="35">
        <f>IF(SUMIF(data_주일!$B$11:$B$303,$B26,data_주일!L$11:L$303)&gt;0,SUMIF(data_주일!$B$11:$B$303,$B26,data_주일!L$11:L$303),"")</f>
        <v>23</v>
      </c>
      <c r="I26" s="35">
        <f>IF(SUMIF(data_주일!$B$11:$B$303,$B26,data_주일!M$11:M$303)&gt;0,SUMIF(data_주일!$B$11:$B$303,$B26,data_주일!M$11:M$303),"")</f>
        <v>26</v>
      </c>
      <c r="J26" s="35">
        <f>IF(SUMIF(data_주일!$B$11:$B$303,$B26,data_주일!N$11:N$303)&gt;0,SUMIF(data_주일!$B$11:$B$303,$B26,data_주일!N$11:N$303),"")</f>
        <v>20</v>
      </c>
      <c r="K26" s="45">
        <f t="shared" si="0"/>
        <v>22</v>
      </c>
      <c r="L26" s="35">
        <f>IF(SUMIF(data_주일!$B$11:$B$303,$B26,data_주일!P$11:P$303)&gt;0,SUMIF(data_주일!$B$11:$B$303,$B26,data_주일!P$11:P$303),"")</f>
        <v>22</v>
      </c>
      <c r="M26" s="35">
        <f>IF(SUMIF(data_주일!$B$11:$B$303,$B26,data_주일!Q$11:Q$303)&gt;0,SUMIF(data_주일!$B$11:$B$303,$B26,data_주일!Q$11:Q$303),"")</f>
        <v>23</v>
      </c>
      <c r="N26" s="35">
        <f>IF(SUMIF(data_주일!$B$11:$B$303,$B26,data_주일!R$11:R$303)&gt;0,SUMIF(data_주일!$B$11:$B$303,$B26,data_주일!R$11:R$303),"")</f>
        <v>22</v>
      </c>
      <c r="O26" s="35">
        <f>IF(SUMIF(data_주일!$B$11:$B$303,$B26,data_주일!S$11:S$303)&gt;0,SUMIF(data_주일!$B$11:$B$303,$B26,data_주일!S$11:S$303),"")</f>
        <v>20</v>
      </c>
      <c r="P26" s="35">
        <f>IF(SUMIF(data_주일!$B$11:$B$303,$B26,data_주일!T$11:T$303)&gt;0,SUMIF(data_주일!$B$11:$B$303,$B26,data_주일!T$11:T$303),"")</f>
        <v>22</v>
      </c>
      <c r="Q26" s="35">
        <f>IF(SUMIF(data_주일!$B$11:$B$303,$B26,data_주일!U$11:U$303)&gt;0,SUMIF(data_주일!$B$11:$B$303,$B26,data_주일!U$11:U$303),"")</f>
        <v>22</v>
      </c>
    </row>
    <row r="27" spans="1:17" x14ac:dyDescent="0.3">
      <c r="A27" s="33"/>
      <c r="B27" s="42">
        <v>43</v>
      </c>
      <c r="C27" s="43" t="s">
        <v>345</v>
      </c>
      <c r="D27" s="37" t="s">
        <v>355</v>
      </c>
      <c r="E27" s="35">
        <f>IF(SUMIF(data_주일!$B$11:$B$303,$B27,data_주일!I$11:I$303)&gt;0,SUMIF(data_주일!$B$11:$B$303,$B27,data_주일!I$11:I$303),"")</f>
        <v>22</v>
      </c>
      <c r="F27" s="35">
        <f>IF(SUMIF(data_주일!$B$11:$B$303,$B27,data_주일!J$11:J$303)&gt;0,SUMIF(data_주일!$B$11:$B$303,$B27,data_주일!J$11:J$303),"")</f>
        <v>23</v>
      </c>
      <c r="G27" s="35">
        <f>IF(SUMIF(data_주일!$B$11:$B$303,$B27,data_주일!K$11:K$303)&gt;0,SUMIF(data_주일!$B$11:$B$303,$B27,data_주일!K$11:K$303),"")</f>
        <v>22</v>
      </c>
      <c r="H27" s="35">
        <f>IF(SUMIF(data_주일!$B$11:$B$303,$B27,data_주일!L$11:L$303)&gt;0,SUMIF(data_주일!$B$11:$B$303,$B27,data_주일!L$11:L$303),"")</f>
        <v>25</v>
      </c>
      <c r="I27" s="35">
        <f>IF(SUMIF(data_주일!$B$11:$B$303,$B27,data_주일!M$11:M$303)&gt;0,SUMIF(data_주일!$B$11:$B$303,$B27,data_주일!M$11:M$303),"")</f>
        <v>24</v>
      </c>
      <c r="J27" s="35">
        <f>IF(SUMIF(data_주일!$B$11:$B$303,$B27,data_주일!N$11:N$303)&gt;0,SUMIF(data_주일!$B$11:$B$303,$B27,data_주일!N$11:N$303),"")</f>
        <v>20</v>
      </c>
      <c r="K27" s="45">
        <f t="shared" si="0"/>
        <v>22</v>
      </c>
      <c r="L27" s="35">
        <f>IF(SUMIF(data_주일!$B$11:$B$303,$B27,data_주일!P$11:P$303)&gt;0,SUMIF(data_주일!$B$11:$B$303,$B27,data_주일!P$11:P$303),"")</f>
        <v>21</v>
      </c>
      <c r="M27" s="35">
        <f>IF(SUMIF(data_주일!$B$11:$B$303,$B27,data_주일!Q$11:Q$303)&gt;0,SUMIF(data_주일!$B$11:$B$303,$B27,data_주일!Q$11:Q$303),"")</f>
        <v>25</v>
      </c>
      <c r="N27" s="35">
        <f>IF(SUMIF(data_주일!$B$11:$B$303,$B27,data_주일!R$11:R$303)&gt;0,SUMIF(data_주일!$B$11:$B$303,$B27,data_주일!R$11:R$303),"")</f>
        <v>23</v>
      </c>
      <c r="O27" s="35">
        <f>IF(SUMIF(data_주일!$B$11:$B$303,$B27,data_주일!S$11:S$303)&gt;0,SUMIF(data_주일!$B$11:$B$303,$B27,data_주일!S$11:S$303),"")</f>
        <v>26</v>
      </c>
      <c r="P27" s="35">
        <f>IF(SUMIF(data_주일!$B$11:$B$303,$B27,data_주일!T$11:T$303)&gt;0,SUMIF(data_주일!$B$11:$B$303,$B27,data_주일!T$11:T$303),"")</f>
        <v>23</v>
      </c>
      <c r="Q27" s="35">
        <f>IF(SUMIF(data_주일!$B$11:$B$303,$B27,data_주일!U$11:U$303)&gt;0,SUMIF(data_주일!$B$11:$B$303,$B27,data_주일!U$11:U$303),"")</f>
        <v>21</v>
      </c>
    </row>
    <row r="28" spans="1:17" x14ac:dyDescent="0.3">
      <c r="A28" s="86" t="s">
        <v>343</v>
      </c>
      <c r="B28" s="113"/>
      <c r="C28" s="113"/>
      <c r="D28" s="38"/>
      <c r="E28" s="34">
        <v>10</v>
      </c>
      <c r="F28" s="34">
        <v>11</v>
      </c>
      <c r="G28" s="34">
        <v>12</v>
      </c>
      <c r="H28" s="34">
        <v>14</v>
      </c>
      <c r="I28" s="34">
        <v>10</v>
      </c>
      <c r="J28" s="34">
        <v>8</v>
      </c>
      <c r="K28" s="45">
        <f t="shared" si="0"/>
        <v>10</v>
      </c>
      <c r="L28" s="34">
        <v>9</v>
      </c>
      <c r="M28" s="34">
        <v>9</v>
      </c>
      <c r="N28" s="34">
        <v>12</v>
      </c>
      <c r="O28" s="34">
        <v>11</v>
      </c>
      <c r="P28" s="34">
        <v>10</v>
      </c>
      <c r="Q28" s="34">
        <v>9</v>
      </c>
    </row>
    <row r="29" spans="1:17" x14ac:dyDescent="0.3">
      <c r="A29" s="114" t="s">
        <v>344</v>
      </c>
      <c r="B29" s="115"/>
      <c r="C29" s="115"/>
      <c r="D29" s="39"/>
      <c r="E29" s="41">
        <v>25</v>
      </c>
      <c r="F29" s="41">
        <v>21</v>
      </c>
      <c r="G29" s="41">
        <v>22</v>
      </c>
      <c r="H29" s="41">
        <v>22</v>
      </c>
      <c r="I29" s="41">
        <v>21</v>
      </c>
      <c r="J29" s="41">
        <v>23</v>
      </c>
      <c r="K29" s="48">
        <f t="shared" si="0"/>
        <v>22</v>
      </c>
      <c r="L29" s="41">
        <v>20</v>
      </c>
      <c r="M29" s="41">
        <v>17</v>
      </c>
      <c r="N29" s="41">
        <v>20</v>
      </c>
      <c r="O29" s="41">
        <v>20</v>
      </c>
      <c r="P29" s="41">
        <v>20</v>
      </c>
      <c r="Q29" s="41">
        <v>20</v>
      </c>
    </row>
    <row r="30" spans="1:17" ht="17.25" x14ac:dyDescent="0.3">
      <c r="A30" s="116" t="s">
        <v>335</v>
      </c>
      <c r="B30" s="117"/>
      <c r="C30" s="117"/>
      <c r="D30" s="118"/>
      <c r="E30" s="57">
        <f>SUM(E17,E28,E29)</f>
        <v>244</v>
      </c>
      <c r="F30" s="57">
        <f t="shared" ref="F30:Q30" si="1">SUM(F17,F28,F29)</f>
        <v>246</v>
      </c>
      <c r="G30" s="57">
        <f t="shared" si="1"/>
        <v>251</v>
      </c>
      <c r="H30" s="57">
        <f t="shared" si="1"/>
        <v>265</v>
      </c>
      <c r="I30" s="57">
        <f t="shared" si="1"/>
        <v>245</v>
      </c>
      <c r="J30" s="57">
        <f t="shared" si="1"/>
        <v>247</v>
      </c>
      <c r="K30" s="57">
        <f t="shared" si="1"/>
        <v>244</v>
      </c>
      <c r="L30" s="57">
        <f t="shared" si="1"/>
        <v>238</v>
      </c>
      <c r="M30" s="57">
        <f t="shared" si="1"/>
        <v>244</v>
      </c>
      <c r="N30" s="57">
        <f t="shared" si="1"/>
        <v>243</v>
      </c>
      <c r="O30" s="57">
        <f t="shared" si="1"/>
        <v>249</v>
      </c>
      <c r="P30" s="57">
        <f t="shared" si="1"/>
        <v>251</v>
      </c>
      <c r="Q30" s="57">
        <f t="shared" si="1"/>
        <v>242</v>
      </c>
    </row>
    <row r="31" spans="1:17" x14ac:dyDescent="0.3">
      <c r="A31" s="31" t="s">
        <v>357</v>
      </c>
      <c r="B31" s="31"/>
      <c r="C31" s="31"/>
      <c r="D31" s="31"/>
    </row>
    <row r="32" spans="1:17" x14ac:dyDescent="0.3">
      <c r="A32" s="47" t="s">
        <v>359</v>
      </c>
    </row>
    <row r="33" spans="1:11" x14ac:dyDescent="0.3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</sheetData>
  <mergeCells count="7">
    <mergeCell ref="A28:C28"/>
    <mergeCell ref="A29:C29"/>
    <mergeCell ref="A30:D30"/>
    <mergeCell ref="A15:I15"/>
    <mergeCell ref="A33:K33"/>
    <mergeCell ref="A16:C16"/>
    <mergeCell ref="A17:C17"/>
  </mergeCells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7069-1052-469F-8DCC-81569813A55D}">
  <sheetPr>
    <pageSetUpPr fitToPage="1"/>
  </sheetPr>
  <dimension ref="A13:L62"/>
  <sheetViews>
    <sheetView showGridLines="0" view="pageBreakPreview" zoomScale="115" zoomScaleNormal="100" zoomScaleSheetLayoutView="115" workbookViewId="0">
      <selection activeCell="E39" sqref="E39:H55"/>
    </sheetView>
  </sheetViews>
  <sheetFormatPr defaultColWidth="9" defaultRowHeight="16.5" x14ac:dyDescent="0.3"/>
  <cols>
    <col min="1" max="1" width="9.5" style="28" customWidth="1"/>
    <col min="2" max="2" width="3.5" style="28" bestFit="1" customWidth="1"/>
    <col min="3" max="3" width="7.25" style="28" customWidth="1"/>
    <col min="4" max="4" width="9.125" style="28" bestFit="1" customWidth="1"/>
    <col min="5" max="9" width="10.625" style="28" customWidth="1"/>
    <col min="10" max="12" width="10.625" style="29" customWidth="1"/>
    <col min="13" max="16384" width="9" style="29"/>
  </cols>
  <sheetData>
    <row r="13" spans="1:12" x14ac:dyDescent="0.3">
      <c r="A13" s="108" t="s">
        <v>346</v>
      </c>
      <c r="B13" s="129"/>
      <c r="C13" s="109"/>
      <c r="D13" s="52" t="s">
        <v>341</v>
      </c>
      <c r="E13" s="53">
        <v>45752</v>
      </c>
      <c r="F13" s="53">
        <v>45759</v>
      </c>
      <c r="G13" s="53">
        <v>45766</v>
      </c>
      <c r="H13" s="53">
        <v>45773</v>
      </c>
      <c r="I13" s="53">
        <v>45780</v>
      </c>
      <c r="J13" s="53">
        <v>45787</v>
      </c>
      <c r="K13" s="53">
        <v>45794</v>
      </c>
      <c r="L13" s="53">
        <v>45801</v>
      </c>
    </row>
    <row r="14" spans="1:12" x14ac:dyDescent="0.3">
      <c r="A14" s="130" t="s">
        <v>342</v>
      </c>
      <c r="B14" s="131"/>
      <c r="C14" s="131"/>
      <c r="D14" s="49"/>
      <c r="E14" s="55">
        <f>SUMIF(data_주일!V$11:V$303,1,data_주일!V$11:V$303)</f>
        <v>197</v>
      </c>
      <c r="F14" s="55">
        <f>SUMIF(data_주일!W$11:W$303,1,data_주일!W$11:W$303)</f>
        <v>193</v>
      </c>
      <c r="G14" s="55">
        <f>SUMIF(data_주일!X$11:X$303,1,data_주일!X$11:X$303)</f>
        <v>216</v>
      </c>
      <c r="H14" s="55">
        <f>SUMIF(data_주일!Y$11:Y$303,1,data_주일!Y$11:Y$303)</f>
        <v>212</v>
      </c>
      <c r="I14" s="55">
        <f>SUMIF(data_주일!Z$11:Z$303,1,data_주일!Z$11:Z$303)</f>
        <v>201</v>
      </c>
      <c r="J14" s="55">
        <f>SUMIF(data_주일!AA$11:AA$303,1,data_주일!AA$11:AA$303)</f>
        <v>198</v>
      </c>
      <c r="K14" s="55">
        <f>SUMIF(data_주일!AB$11:AB$303,1,data_주일!AB$11:AB$303)</f>
        <v>212</v>
      </c>
      <c r="L14" s="55">
        <f>SUMIF(data_주일!AC$11:AC$303,1,data_주일!AC$11:AC$303)</f>
        <v>210</v>
      </c>
    </row>
    <row r="15" spans="1:12" x14ac:dyDescent="0.3">
      <c r="A15" s="33"/>
      <c r="B15" s="36">
        <v>11</v>
      </c>
      <c r="C15" s="37" t="s">
        <v>345</v>
      </c>
      <c r="D15" s="37" t="s">
        <v>347</v>
      </c>
      <c r="E15" s="35">
        <f>IF(SUMIF(data_주일!$B$11:$B$303,$B15,data_주일!V$11:V$303)&gt;0,SUMIF(data_주일!$B$11:$B$303,$B15,data_주일!V$11:V$303),"")</f>
        <v>28</v>
      </c>
      <c r="F15" s="35">
        <f>IF(SUMIF(data_주일!$B$11:$B$303,$B15,data_주일!W$11:W$303)&gt;0,SUMIF(data_주일!$B$11:$B$303,$B15,data_주일!W$11:W$303),"")</f>
        <v>16</v>
      </c>
      <c r="G15" s="35">
        <f>IF(SUMIF(data_주일!$B$11:$B$303,$B15,data_주일!X$11:X$303)&gt;0,SUMIF(data_주일!$B$11:$B$303,$B15,data_주일!X$11:X$303),"")</f>
        <v>29</v>
      </c>
      <c r="H15" s="35">
        <f>IF(SUMIF(data_주일!$B$11:$B$303,$B15,data_주일!Y$11:Y$303)&gt;0,SUMIF(data_주일!$B$11:$B$303,$B15,data_주일!Y$11:Y$303),"")</f>
        <v>26</v>
      </c>
      <c r="I15" s="35">
        <f>IF(SUMIF(data_주일!$B$11:$B$303,$B15,data_주일!Z$11:Z$303)&gt;0,SUMIF(data_주일!$B$11:$B$303,$B15,data_주일!Z$11:Z$303),"")</f>
        <v>24</v>
      </c>
      <c r="J15" s="35">
        <f>IF(SUMIF(data_주일!$B$11:$B$303,$B15,data_주일!AA$11:AA$303)&gt;0,SUMIF(data_주일!$B$11:$B$303,$B15,data_주일!AA$11:AA$303),"")</f>
        <v>28</v>
      </c>
      <c r="K15" s="35">
        <f>IF(SUMIF(data_주일!$B$11:$B$303,$B15,data_주일!AB$11:AB$303)&gt;0,SUMIF(data_주일!$B$11:$B$303,$B15,data_주일!AB$11:AB$303),"")</f>
        <v>22</v>
      </c>
      <c r="L15" s="35">
        <f>IF(SUMIF(data_주일!$B$11:$B$303,$B15,data_주일!AC$11:AC$303)&gt;0,SUMIF(data_주일!$B$11:$B$303,$B15,data_주일!AC$11:AC$303),"")</f>
        <v>27</v>
      </c>
    </row>
    <row r="16" spans="1:12" x14ac:dyDescent="0.3">
      <c r="A16" s="33"/>
      <c r="B16" s="36">
        <v>12</v>
      </c>
      <c r="C16" s="37" t="s">
        <v>345</v>
      </c>
      <c r="D16" s="37" t="s">
        <v>348</v>
      </c>
      <c r="E16" s="35">
        <f>IF(SUMIF(data_주일!$B$11:$B$303,$B16,data_주일!V$11:V$303)&gt;0,SUMIF(data_주일!$B$11:$B$303,$B16,data_주일!V$11:V$303),"")</f>
        <v>22</v>
      </c>
      <c r="F16" s="35">
        <f>IF(SUMIF(data_주일!$B$11:$B$303,$B16,data_주일!W$11:W$303)&gt;0,SUMIF(data_주일!$B$11:$B$303,$B16,data_주일!W$11:W$303),"")</f>
        <v>24</v>
      </c>
      <c r="G16" s="35">
        <f>IF(SUMIF(data_주일!$B$11:$B$303,$B16,data_주일!X$11:X$303)&gt;0,SUMIF(data_주일!$B$11:$B$303,$B16,data_주일!X$11:X$303),"")</f>
        <v>23</v>
      </c>
      <c r="H16" s="35">
        <f>IF(SUMIF(data_주일!$B$11:$B$303,$B16,data_주일!Y$11:Y$303)&gt;0,SUMIF(data_주일!$B$11:$B$303,$B16,data_주일!Y$11:Y$303),"")</f>
        <v>26</v>
      </c>
      <c r="I16" s="35">
        <f>IF(SUMIF(data_주일!$B$11:$B$303,$B16,data_주일!Z$11:Z$303)&gt;0,SUMIF(data_주일!$B$11:$B$303,$B16,data_주일!Z$11:Z$303),"")</f>
        <v>27</v>
      </c>
      <c r="J16" s="35">
        <f>IF(SUMIF(data_주일!$B$11:$B$303,$B16,data_주일!AA$11:AA$303)&gt;0,SUMIF(data_주일!$B$11:$B$303,$B16,data_주일!AA$11:AA$303),"")</f>
        <v>24</v>
      </c>
      <c r="K16" s="35">
        <f>IF(SUMIF(data_주일!$B$11:$B$303,$B16,data_주일!AB$11:AB$303)&gt;0,SUMIF(data_주일!$B$11:$B$303,$B16,data_주일!AB$11:AB$303),"")</f>
        <v>26</v>
      </c>
      <c r="L16" s="35">
        <f>IF(SUMIF(data_주일!$B$11:$B$303,$B16,data_주일!AC$11:AC$303)&gt;0,SUMIF(data_주일!$B$11:$B$303,$B16,data_주일!AC$11:AC$303),"")</f>
        <v>26</v>
      </c>
    </row>
    <row r="17" spans="1:12" x14ac:dyDescent="0.3">
      <c r="A17" s="33"/>
      <c r="B17" s="36">
        <v>21</v>
      </c>
      <c r="C17" s="37" t="s">
        <v>345</v>
      </c>
      <c r="D17" s="37" t="s">
        <v>349</v>
      </c>
      <c r="E17" s="35">
        <f>IF(SUMIF(data_주일!$B$11:$B$303,$B17,data_주일!V$11:V$303)&gt;0,SUMIF(data_주일!$B$11:$B$303,$B17,data_주일!V$11:V$303),"")</f>
        <v>23</v>
      </c>
      <c r="F17" s="35">
        <f>IF(SUMIF(data_주일!$B$11:$B$303,$B17,data_주일!W$11:W$303)&gt;0,SUMIF(data_주일!$B$11:$B$303,$B17,data_주일!W$11:W$303),"")</f>
        <v>23</v>
      </c>
      <c r="G17" s="35">
        <f>IF(SUMIF(data_주일!$B$11:$B$303,$B17,data_주일!X$11:X$303)&gt;0,SUMIF(data_주일!$B$11:$B$303,$B17,data_주일!X$11:X$303),"")</f>
        <v>26</v>
      </c>
      <c r="H17" s="35">
        <f>IF(SUMIF(data_주일!$B$11:$B$303,$B17,data_주일!Y$11:Y$303)&gt;0,SUMIF(data_주일!$B$11:$B$303,$B17,data_주일!Y$11:Y$303),"")</f>
        <v>22</v>
      </c>
      <c r="I17" s="35">
        <f>IF(SUMIF(data_주일!$B$11:$B$303,$B17,data_주일!Z$11:Z$303)&gt;0,SUMIF(data_주일!$B$11:$B$303,$B17,data_주일!Z$11:Z$303),"")</f>
        <v>17</v>
      </c>
      <c r="J17" s="35">
        <f>IF(SUMIF(data_주일!$B$11:$B$303,$B17,data_주일!AA$11:AA$303)&gt;0,SUMIF(data_주일!$B$11:$B$303,$B17,data_주일!AA$11:AA$303),"")</f>
        <v>20</v>
      </c>
      <c r="K17" s="35">
        <f>IF(SUMIF(data_주일!$B$11:$B$303,$B17,data_주일!AB$11:AB$303)&gt;0,SUMIF(data_주일!$B$11:$B$303,$B17,data_주일!AB$11:AB$303),"")</f>
        <v>23</v>
      </c>
      <c r="L17" s="35">
        <f>IF(SUMIF(data_주일!$B$11:$B$303,$B17,data_주일!AC$11:AC$303)&gt;0,SUMIF(data_주일!$B$11:$B$303,$B17,data_주일!AC$11:AC$303),"")</f>
        <v>19</v>
      </c>
    </row>
    <row r="18" spans="1:12" x14ac:dyDescent="0.3">
      <c r="A18" s="33"/>
      <c r="B18" s="36">
        <v>22</v>
      </c>
      <c r="C18" s="37" t="s">
        <v>345</v>
      </c>
      <c r="D18" s="37" t="s">
        <v>350</v>
      </c>
      <c r="E18" s="35">
        <f>IF(SUMIF(data_주일!$B$11:$B$303,$B18,data_주일!V$11:V$303)&gt;0,SUMIF(data_주일!$B$11:$B$303,$B18,data_주일!V$11:V$303),"")</f>
        <v>15</v>
      </c>
      <c r="F18" s="35">
        <f>IF(SUMIF(data_주일!$B$11:$B$303,$B18,data_주일!W$11:W$303)&gt;0,SUMIF(data_주일!$B$11:$B$303,$B18,data_주일!W$11:W$303),"")</f>
        <v>19</v>
      </c>
      <c r="G18" s="35">
        <f>IF(SUMIF(data_주일!$B$11:$B$303,$B18,data_주일!X$11:X$303)&gt;0,SUMIF(data_주일!$B$11:$B$303,$B18,data_주일!X$11:X$303),"")</f>
        <v>19</v>
      </c>
      <c r="H18" s="35">
        <f>IF(SUMIF(data_주일!$B$11:$B$303,$B18,data_주일!Y$11:Y$303)&gt;0,SUMIF(data_주일!$B$11:$B$303,$B18,data_주일!Y$11:Y$303),"")</f>
        <v>14</v>
      </c>
      <c r="I18" s="35">
        <f>IF(SUMIF(data_주일!$B$11:$B$303,$B18,data_주일!Z$11:Z$303)&gt;0,SUMIF(data_주일!$B$11:$B$303,$B18,data_주일!Z$11:Z$303),"")</f>
        <v>18</v>
      </c>
      <c r="J18" s="35">
        <f>IF(SUMIF(data_주일!$B$11:$B$303,$B18,data_주일!AA$11:AA$303)&gt;0,SUMIF(data_주일!$B$11:$B$303,$B18,data_주일!AA$11:AA$303),"")</f>
        <v>15</v>
      </c>
      <c r="K18" s="35">
        <f>IF(SUMIF(data_주일!$B$11:$B$303,$B18,data_주일!AB$11:AB$303)&gt;0,SUMIF(data_주일!$B$11:$B$303,$B18,data_주일!AB$11:AB$303),"")</f>
        <v>17</v>
      </c>
      <c r="L18" s="35">
        <f>IF(SUMIF(data_주일!$B$11:$B$303,$B18,data_주일!AC$11:AC$303)&gt;0,SUMIF(data_주일!$B$11:$B$303,$B18,data_주일!AC$11:AC$303),"")</f>
        <v>17</v>
      </c>
    </row>
    <row r="19" spans="1:12" x14ac:dyDescent="0.3">
      <c r="A19" s="33"/>
      <c r="B19" s="36">
        <v>31</v>
      </c>
      <c r="C19" s="37" t="s">
        <v>345</v>
      </c>
      <c r="D19" s="37" t="s">
        <v>351</v>
      </c>
      <c r="E19" s="35">
        <f>IF(SUMIF(data_주일!$B$11:$B$303,$B19,data_주일!V$11:V$303)&gt;0,SUMIF(data_주일!$B$11:$B$303,$B19,data_주일!V$11:V$303),"")</f>
        <v>21</v>
      </c>
      <c r="F19" s="35">
        <f>IF(SUMIF(data_주일!$B$11:$B$303,$B19,data_주일!W$11:W$303)&gt;0,SUMIF(data_주일!$B$11:$B$303,$B19,data_주일!W$11:W$303),"")</f>
        <v>25</v>
      </c>
      <c r="G19" s="35">
        <f>IF(SUMIF(data_주일!$B$11:$B$303,$B19,data_주일!X$11:X$303)&gt;0,SUMIF(data_주일!$B$11:$B$303,$B19,data_주일!X$11:X$303),"")</f>
        <v>25</v>
      </c>
      <c r="H19" s="35">
        <f>IF(SUMIF(data_주일!$B$11:$B$303,$B19,data_주일!Y$11:Y$303)&gt;0,SUMIF(data_주일!$B$11:$B$303,$B19,data_주일!Y$11:Y$303),"")</f>
        <v>26</v>
      </c>
      <c r="I19" s="35">
        <f>IF(SUMIF(data_주일!$B$11:$B$303,$B19,data_주일!Z$11:Z$303)&gt;0,SUMIF(data_주일!$B$11:$B$303,$B19,data_주일!Z$11:Z$303),"")</f>
        <v>20</v>
      </c>
      <c r="J19" s="35">
        <f>IF(SUMIF(data_주일!$B$11:$B$303,$B19,data_주일!AA$11:AA$303)&gt;0,SUMIF(data_주일!$B$11:$B$303,$B19,data_주일!AA$11:AA$303),"")</f>
        <v>20</v>
      </c>
      <c r="K19" s="35">
        <f>IF(SUMIF(data_주일!$B$11:$B$303,$B19,data_주일!AB$11:AB$303)&gt;0,SUMIF(data_주일!$B$11:$B$303,$B19,data_주일!AB$11:AB$303),"")</f>
        <v>22</v>
      </c>
      <c r="L19" s="35">
        <f>IF(SUMIF(data_주일!$B$11:$B$303,$B19,data_주일!AC$11:AC$303)&gt;0,SUMIF(data_주일!$B$11:$B$303,$B19,data_주일!AC$11:AC$303),"")</f>
        <v>22</v>
      </c>
    </row>
    <row r="20" spans="1:12" x14ac:dyDescent="0.3">
      <c r="A20" s="33"/>
      <c r="B20" s="36">
        <v>32</v>
      </c>
      <c r="C20" s="37" t="s">
        <v>345</v>
      </c>
      <c r="D20" s="37" t="s">
        <v>352</v>
      </c>
      <c r="E20" s="35">
        <f>IF(SUMIF(data_주일!$B$11:$B$303,$B20,data_주일!V$11:V$303)&gt;0,SUMIF(data_주일!$B$11:$B$303,$B20,data_주일!V$11:V$303),"")</f>
        <v>23</v>
      </c>
      <c r="F20" s="35">
        <f>IF(SUMIF(data_주일!$B$11:$B$303,$B20,data_주일!W$11:W$303)&gt;0,SUMIF(data_주일!$B$11:$B$303,$B20,data_주일!W$11:W$303),"")</f>
        <v>24</v>
      </c>
      <c r="G20" s="35">
        <f>IF(SUMIF(data_주일!$B$11:$B$303,$B20,data_주일!X$11:X$303)&gt;0,SUMIF(data_주일!$B$11:$B$303,$B20,data_주일!X$11:X$303),"")</f>
        <v>24</v>
      </c>
      <c r="H20" s="35">
        <f>IF(SUMIF(data_주일!$B$11:$B$303,$B20,data_주일!Y$11:Y$303)&gt;0,SUMIF(data_주일!$B$11:$B$303,$B20,data_주일!Y$11:Y$303),"")</f>
        <v>23</v>
      </c>
      <c r="I20" s="35">
        <f>IF(SUMIF(data_주일!$B$11:$B$303,$B20,data_주일!Z$11:Z$303)&gt;0,SUMIF(data_주일!$B$11:$B$303,$B20,data_주일!Z$11:Z$303),"")</f>
        <v>21</v>
      </c>
      <c r="J20" s="35">
        <f>IF(SUMIF(data_주일!$B$11:$B$303,$B20,data_주일!AA$11:AA$303)&gt;0,SUMIF(data_주일!$B$11:$B$303,$B20,data_주일!AA$11:AA$303),"")</f>
        <v>22</v>
      </c>
      <c r="K20" s="35">
        <f>IF(SUMIF(data_주일!$B$11:$B$303,$B20,data_주일!AB$11:AB$303)&gt;0,SUMIF(data_주일!$B$11:$B$303,$B20,data_주일!AB$11:AB$303),"")</f>
        <v>24</v>
      </c>
      <c r="L20" s="35">
        <f>IF(SUMIF(data_주일!$B$11:$B$303,$B20,data_주일!AC$11:AC$303)&gt;0,SUMIF(data_주일!$B$11:$B$303,$B20,data_주일!AC$11:AC$303),"")</f>
        <v>25</v>
      </c>
    </row>
    <row r="21" spans="1:12" x14ac:dyDescent="0.3">
      <c r="A21" s="33"/>
      <c r="B21" s="36">
        <v>33</v>
      </c>
      <c r="C21" s="37" t="s">
        <v>345</v>
      </c>
      <c r="D21" s="37" t="s">
        <v>356</v>
      </c>
      <c r="E21" s="35">
        <f>IF(SUMIF(data_주일!$B$11:$B$303,$B21,data_주일!V$11:V$303)&gt;0,SUMIF(data_주일!$B$11:$B$303,$B21,data_주일!V$11:V$303),"")</f>
        <v>1</v>
      </c>
      <c r="F21" s="35">
        <f>IF(SUMIF(data_주일!$B$11:$B$303,$B21,data_주일!W$11:W$303)&gt;0,SUMIF(data_주일!$B$11:$B$303,$B21,data_주일!W$11:W$303),"")</f>
        <v>5</v>
      </c>
      <c r="G21" s="35">
        <f>IF(SUMIF(data_주일!$B$11:$B$303,$B21,data_주일!X$11:X$303)&gt;0,SUMIF(data_주일!$B$11:$B$303,$B21,data_주일!X$11:X$303),"")</f>
        <v>6</v>
      </c>
      <c r="H21" s="35">
        <f>IF(SUMIF(data_주일!$B$11:$B$303,$B21,data_주일!Y$11:Y$303)&gt;0,SUMIF(data_주일!$B$11:$B$303,$B21,data_주일!Y$11:Y$303),"")</f>
        <v>6</v>
      </c>
      <c r="I21" s="35">
        <f>IF(SUMIF(data_주일!$B$11:$B$303,$B21,data_주일!Z$11:Z$303)&gt;0,SUMIF(data_주일!$B$11:$B$303,$B21,data_주일!Z$11:Z$303),"")</f>
        <v>2</v>
      </c>
      <c r="J21" s="35" t="str">
        <f>IF(SUMIF(data_주일!$B$11:$B$303,$B21,data_주일!AA$11:AA$303)&gt;0,SUMIF(data_주일!$B$11:$B$303,$B21,data_주일!AA$11:AA$303),"")</f>
        <v/>
      </c>
      <c r="K21" s="35">
        <f>IF(SUMIF(data_주일!$B$11:$B$303,$B21,data_주일!AB$11:AB$303)&gt;0,SUMIF(data_주일!$B$11:$B$303,$B21,data_주일!AB$11:AB$303),"")</f>
        <v>5</v>
      </c>
      <c r="L21" s="35">
        <f>IF(SUMIF(data_주일!$B$11:$B$303,$B21,data_주일!AC$11:AC$303)&gt;0,SUMIF(data_주일!$B$11:$B$303,$B21,data_주일!AC$11:AC$303),"")</f>
        <v>4</v>
      </c>
    </row>
    <row r="22" spans="1:12" x14ac:dyDescent="0.3">
      <c r="A22" s="33"/>
      <c r="B22" s="36">
        <v>41</v>
      </c>
      <c r="C22" s="37" t="s">
        <v>345</v>
      </c>
      <c r="D22" s="37" t="s">
        <v>353</v>
      </c>
      <c r="E22" s="35">
        <f>IF(SUMIF(data_주일!$B$11:$B$303,$B22,data_주일!V$11:V$303)&gt;0,SUMIF(data_주일!$B$11:$B$303,$B22,data_주일!V$11:V$303),"")</f>
        <v>23</v>
      </c>
      <c r="F22" s="35">
        <f>IF(SUMIF(data_주일!$B$11:$B$303,$B22,data_주일!W$11:W$303)&gt;0,SUMIF(data_주일!$B$11:$B$303,$B22,data_주일!W$11:W$303),"")</f>
        <v>21</v>
      </c>
      <c r="G22" s="35">
        <f>IF(SUMIF(data_주일!$B$11:$B$303,$B22,data_주일!X$11:X$303)&gt;0,SUMIF(data_주일!$B$11:$B$303,$B22,data_주일!X$11:X$303),"")</f>
        <v>20</v>
      </c>
      <c r="H22" s="35">
        <f>IF(SUMIF(data_주일!$B$11:$B$303,$B22,data_주일!Y$11:Y$303)&gt;0,SUMIF(data_주일!$B$11:$B$303,$B22,data_주일!Y$11:Y$303),"")</f>
        <v>24</v>
      </c>
      <c r="I22" s="35">
        <f>IF(SUMIF(data_주일!$B$11:$B$303,$B22,data_주일!Z$11:Z$303)&gt;0,SUMIF(data_주일!$B$11:$B$303,$B22,data_주일!Z$11:Z$303),"")</f>
        <v>24</v>
      </c>
      <c r="J22" s="35">
        <f>IF(SUMIF(data_주일!$B$11:$B$303,$B22,data_주일!AA$11:AA$303)&gt;0,SUMIF(data_주일!$B$11:$B$303,$B22,data_주일!AA$11:AA$303),"")</f>
        <v>23</v>
      </c>
      <c r="K22" s="35">
        <f>IF(SUMIF(data_주일!$B$11:$B$303,$B22,data_주일!AB$11:AB$303)&gt;0,SUMIF(data_주일!$B$11:$B$303,$B22,data_주일!AB$11:AB$303),"")</f>
        <v>22</v>
      </c>
      <c r="L22" s="35">
        <f>IF(SUMIF(data_주일!$B$11:$B$303,$B22,data_주일!AC$11:AC$303)&gt;0,SUMIF(data_주일!$B$11:$B$303,$B22,data_주일!AC$11:AC$303),"")</f>
        <v>22</v>
      </c>
    </row>
    <row r="23" spans="1:12" x14ac:dyDescent="0.3">
      <c r="A23" s="33"/>
      <c r="B23" s="36">
        <v>42</v>
      </c>
      <c r="C23" s="37" t="s">
        <v>345</v>
      </c>
      <c r="D23" s="37" t="s">
        <v>354</v>
      </c>
      <c r="E23" s="35">
        <f>IF(SUMIF(data_주일!$B$11:$B$303,$B23,data_주일!V$11:V$303)&gt;0,SUMIF(data_주일!$B$11:$B$303,$B23,data_주일!V$11:V$303),"")</f>
        <v>18</v>
      </c>
      <c r="F23" s="35">
        <f>IF(SUMIF(data_주일!$B$11:$B$303,$B23,data_주일!W$11:W$303)&gt;0,SUMIF(data_주일!$B$11:$B$303,$B23,data_주일!W$11:W$303),"")</f>
        <v>13</v>
      </c>
      <c r="G23" s="35">
        <f>IF(SUMIF(data_주일!$B$11:$B$303,$B23,data_주일!X$11:X$303)&gt;0,SUMIF(data_주일!$B$11:$B$303,$B23,data_주일!X$11:X$303),"")</f>
        <v>22</v>
      </c>
      <c r="H23" s="35">
        <f>IF(SUMIF(data_주일!$B$11:$B$303,$B23,data_주일!Y$11:Y$303)&gt;0,SUMIF(data_주일!$B$11:$B$303,$B23,data_주일!Y$11:Y$303),"")</f>
        <v>19</v>
      </c>
      <c r="I23" s="35">
        <f>IF(SUMIF(data_주일!$B$11:$B$303,$B23,data_주일!Z$11:Z$303)&gt;0,SUMIF(data_주일!$B$11:$B$303,$B23,data_주일!Z$11:Z$303),"")</f>
        <v>22</v>
      </c>
      <c r="J23" s="35">
        <f>IF(SUMIF(data_주일!$B$11:$B$303,$B23,data_주일!AA$11:AA$303)&gt;0,SUMIF(data_주일!$B$11:$B$303,$B23,data_주일!AA$11:AA$303),"")</f>
        <v>24</v>
      </c>
      <c r="K23" s="35">
        <f>IF(SUMIF(data_주일!$B$11:$B$303,$B23,data_주일!AB$11:AB$303)&gt;0,SUMIF(data_주일!$B$11:$B$303,$B23,data_주일!AB$11:AB$303),"")</f>
        <v>23</v>
      </c>
      <c r="L23" s="35">
        <f>IF(SUMIF(data_주일!$B$11:$B$303,$B23,data_주일!AC$11:AC$303)&gt;0,SUMIF(data_주일!$B$11:$B$303,$B23,data_주일!AC$11:AC$303),"")</f>
        <v>23</v>
      </c>
    </row>
    <row r="24" spans="1:12" x14ac:dyDescent="0.3">
      <c r="A24" s="33"/>
      <c r="B24" s="42">
        <v>43</v>
      </c>
      <c r="C24" s="43" t="s">
        <v>345</v>
      </c>
      <c r="D24" s="37" t="s">
        <v>355</v>
      </c>
      <c r="E24" s="35">
        <f>IF(SUMIF(data_주일!$B$11:$B$303,$B24,data_주일!V$11:V$303)&gt;0,SUMIF(data_주일!$B$11:$B$303,$B24,data_주일!V$11:V$303),"")</f>
        <v>23</v>
      </c>
      <c r="F24" s="35">
        <f>IF(SUMIF(data_주일!$B$11:$B$303,$B24,data_주일!W$11:W$303)&gt;0,SUMIF(data_주일!$B$11:$B$303,$B24,data_주일!W$11:W$303),"")</f>
        <v>23</v>
      </c>
      <c r="G24" s="35">
        <f>IF(SUMIF(data_주일!$B$11:$B$303,$B24,data_주일!X$11:X$303)&gt;0,SUMIF(data_주일!$B$11:$B$303,$B24,data_주일!X$11:X$303),"")</f>
        <v>22</v>
      </c>
      <c r="H24" s="35">
        <f>IF(SUMIF(data_주일!$B$11:$B$303,$B24,data_주일!Y$11:Y$303)&gt;0,SUMIF(data_주일!$B$11:$B$303,$B24,data_주일!Y$11:Y$303),"")</f>
        <v>26</v>
      </c>
      <c r="I24" s="35">
        <f>IF(SUMIF(data_주일!$B$11:$B$303,$B24,data_주일!Z$11:Z$303)&gt;0,SUMIF(data_주일!$B$11:$B$303,$B24,data_주일!Z$11:Z$303),"")</f>
        <v>26</v>
      </c>
      <c r="J24" s="35">
        <f>IF(SUMIF(data_주일!$B$11:$B$303,$B24,data_주일!AA$11:AA$303)&gt;0,SUMIF(data_주일!$B$11:$B$303,$B24,data_주일!AA$11:AA$303),"")</f>
        <v>22</v>
      </c>
      <c r="K24" s="35">
        <f>IF(SUMIF(data_주일!$B$11:$B$303,$B24,data_주일!AB$11:AB$303)&gt;0,SUMIF(data_주일!$B$11:$B$303,$B24,data_주일!AB$11:AB$303),"")</f>
        <v>28</v>
      </c>
      <c r="L24" s="35">
        <f>IF(SUMIF(data_주일!$B$11:$B$303,$B24,data_주일!AC$11:AC$303)&gt;0,SUMIF(data_주일!$B$11:$B$303,$B24,data_주일!AC$11:AC$303),"")</f>
        <v>25</v>
      </c>
    </row>
    <row r="25" spans="1:12" x14ac:dyDescent="0.3">
      <c r="A25" s="86" t="s">
        <v>343</v>
      </c>
      <c r="B25" s="113"/>
      <c r="C25" s="113"/>
      <c r="D25" s="38"/>
      <c r="E25" s="34">
        <v>10</v>
      </c>
      <c r="F25" s="34">
        <v>12</v>
      </c>
      <c r="G25" s="34">
        <v>11</v>
      </c>
      <c r="H25" s="34">
        <v>8</v>
      </c>
      <c r="I25" s="34">
        <v>8</v>
      </c>
      <c r="J25" s="34">
        <v>10</v>
      </c>
      <c r="K25" s="34">
        <v>11</v>
      </c>
      <c r="L25" s="34">
        <v>8</v>
      </c>
    </row>
    <row r="26" spans="1:12" x14ac:dyDescent="0.3">
      <c r="A26" s="114" t="s">
        <v>344</v>
      </c>
      <c r="B26" s="115"/>
      <c r="C26" s="115"/>
      <c r="D26" s="39"/>
      <c r="E26" s="41">
        <v>19</v>
      </c>
      <c r="F26" s="41">
        <v>21</v>
      </c>
      <c r="G26" s="41">
        <v>16</v>
      </c>
      <c r="H26" s="41">
        <v>16</v>
      </c>
      <c r="I26" s="41">
        <v>17</v>
      </c>
      <c r="J26" s="41">
        <v>20</v>
      </c>
      <c r="K26" s="41">
        <v>18</v>
      </c>
      <c r="L26" s="41">
        <v>17</v>
      </c>
    </row>
    <row r="27" spans="1:12" ht="17.25" x14ac:dyDescent="0.3">
      <c r="A27" s="126" t="s">
        <v>335</v>
      </c>
      <c r="B27" s="127"/>
      <c r="C27" s="127"/>
      <c r="D27" s="128"/>
      <c r="E27" s="58">
        <f>SUM(E14,E25,E26)</f>
        <v>226</v>
      </c>
      <c r="F27" s="58">
        <f t="shared" ref="F27:L27" si="0">SUM(F14,F25,F26)</f>
        <v>226</v>
      </c>
      <c r="G27" s="58">
        <f t="shared" si="0"/>
        <v>243</v>
      </c>
      <c r="H27" s="58">
        <f t="shared" si="0"/>
        <v>236</v>
      </c>
      <c r="I27" s="58">
        <f t="shared" si="0"/>
        <v>226</v>
      </c>
      <c r="J27" s="58">
        <f t="shared" si="0"/>
        <v>228</v>
      </c>
      <c r="K27" s="58">
        <f t="shared" si="0"/>
        <v>241</v>
      </c>
      <c r="L27" s="58">
        <f t="shared" si="0"/>
        <v>235</v>
      </c>
    </row>
    <row r="28" spans="1:12" x14ac:dyDescent="0.3">
      <c r="A28" s="105" t="s">
        <v>358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</row>
    <row r="29" spans="1:12" x14ac:dyDescent="0.3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</row>
    <row r="30" spans="1:12" x14ac:dyDescent="0.3">
      <c r="A30" s="47"/>
    </row>
    <row r="31" spans="1:12" x14ac:dyDescent="0.3">
      <c r="A31" s="47"/>
    </row>
    <row r="32" spans="1:12" x14ac:dyDescent="0.3">
      <c r="A32" s="47"/>
    </row>
    <row r="33" spans="1:12" x14ac:dyDescent="0.3">
      <c r="A33" s="47"/>
    </row>
    <row r="34" spans="1:12" ht="16.5" customHeight="1" x14ac:dyDescent="0.3">
      <c r="A34" s="107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</row>
    <row r="35" spans="1:12" ht="16.5" customHeight="1" x14ac:dyDescent="0.3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</row>
    <row r="36" spans="1:12" ht="16.5" customHeight="1" x14ac:dyDescent="0.3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</row>
    <row r="37" spans="1:12" ht="16.5" customHeight="1" x14ac:dyDescent="0.3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</row>
    <row r="38" spans="1:12" ht="16.5" customHeight="1" x14ac:dyDescent="0.3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</row>
    <row r="39" spans="1:12" ht="12.95" customHeight="1" x14ac:dyDescent="0.3">
      <c r="A39" s="51" t="s">
        <v>340</v>
      </c>
      <c r="B39" s="108" t="s">
        <v>385</v>
      </c>
      <c r="C39" s="109"/>
      <c r="D39" s="54" t="s">
        <v>201</v>
      </c>
      <c r="E39" s="53">
        <v>45752</v>
      </c>
      <c r="F39" s="53">
        <v>45759</v>
      </c>
      <c r="G39" s="53">
        <v>45766</v>
      </c>
      <c r="H39" s="53">
        <v>45773</v>
      </c>
      <c r="I39" s="53">
        <v>45780</v>
      </c>
      <c r="J39" s="53">
        <v>45787</v>
      </c>
      <c r="K39" s="53">
        <v>45794</v>
      </c>
      <c r="L39" s="53">
        <v>45801</v>
      </c>
    </row>
    <row r="40" spans="1:12" ht="12.95" customHeight="1" x14ac:dyDescent="0.3">
      <c r="A40" s="40" t="str">
        <f>IF(data_주일!C309="","",data_주일!C309)</f>
        <v>윤나영</v>
      </c>
      <c r="B40" s="86" t="str">
        <f>IF(data_주일!D309="","",data_주일!D309)</f>
        <v>최경숙</v>
      </c>
      <c r="C40" s="87"/>
      <c r="D40" s="40">
        <f>IF(data_주일!B309="","",data_주일!B309)</f>
        <v>11</v>
      </c>
      <c r="E40" s="46" t="str">
        <f>IF(data_주일!V309=1,$A40,"")</f>
        <v/>
      </c>
      <c r="F40" s="46" t="str">
        <f>IF(data_주일!W309=1,$A40,"")</f>
        <v/>
      </c>
      <c r="G40" s="46" t="str">
        <f>IF(data_주일!X309=1,$A40,"")</f>
        <v/>
      </c>
      <c r="H40" s="46" t="str">
        <f>IF(data_주일!Y309=1,$A40,"")</f>
        <v/>
      </c>
      <c r="I40" s="46" t="str">
        <f>IF(data_주일!Z309=1,$A40,"")</f>
        <v/>
      </c>
      <c r="J40" s="46" t="str">
        <f>IF(data_주일!AA309=1,$A40,"")</f>
        <v/>
      </c>
      <c r="K40" s="46" t="str">
        <f>IF(data_주일!AB309=1,$A40,"")</f>
        <v/>
      </c>
      <c r="L40" s="46" t="str">
        <f>IF(data_주일!AC309=1,$A40,"")</f>
        <v/>
      </c>
    </row>
    <row r="41" spans="1:12" ht="12.95" customHeight="1" x14ac:dyDescent="0.3">
      <c r="A41" s="40" t="str">
        <f>IF(data_주일!C310="","",data_주일!C310)</f>
        <v>조미경</v>
      </c>
      <c r="B41" s="86" t="str">
        <f>IF(data_주일!D310="","",data_주일!D310)</f>
        <v>서금자</v>
      </c>
      <c r="C41" s="87"/>
      <c r="D41" s="40">
        <f>IF(data_주일!B310="","",data_주일!B310)</f>
        <v>11</v>
      </c>
      <c r="E41" s="46" t="str">
        <f>IF(data_주일!V310=1,$A41,"")</f>
        <v/>
      </c>
      <c r="F41" s="46" t="str">
        <f>IF(data_주일!W310=1,$A41,"")</f>
        <v/>
      </c>
      <c r="G41" s="46" t="str">
        <f>IF(data_주일!X310=1,$A41,"")</f>
        <v/>
      </c>
      <c r="H41" s="46" t="str">
        <f>IF(data_주일!Y310=1,$A41,"")</f>
        <v/>
      </c>
      <c r="I41" s="46" t="str">
        <f>IF(data_주일!Z310=1,$A41,"")</f>
        <v>조미경</v>
      </c>
      <c r="J41" s="46" t="str">
        <f>IF(data_주일!AA310=1,$A41,"")</f>
        <v/>
      </c>
      <c r="K41" s="46" t="str">
        <f>IF(data_주일!AB310=1,$A41,"")</f>
        <v/>
      </c>
      <c r="L41" s="46" t="str">
        <f>IF(data_주일!AC310=1,$A41,"")</f>
        <v/>
      </c>
    </row>
    <row r="42" spans="1:12" ht="12.95" customHeight="1" x14ac:dyDescent="0.3">
      <c r="A42" s="40" t="str">
        <f>IF(data_주일!C311="","",data_주일!C311)</f>
        <v>차경은</v>
      </c>
      <c r="B42" s="86" t="str">
        <f>IF(data_주일!D311="","",data_주일!D311)</f>
        <v>이지영</v>
      </c>
      <c r="C42" s="87"/>
      <c r="D42" s="40">
        <f>IF(data_주일!B311="","",data_주일!B311)</f>
        <v>11</v>
      </c>
      <c r="E42" s="46" t="str">
        <f>IF(data_주일!V311=1,$A42,"")</f>
        <v/>
      </c>
      <c r="F42" s="46" t="str">
        <f>IF(data_주일!W311=1,$A42,"")</f>
        <v/>
      </c>
      <c r="G42" s="46" t="str">
        <f>IF(data_주일!X311=1,$A42,"")</f>
        <v/>
      </c>
      <c r="H42" s="46" t="str">
        <f>IF(data_주일!Y311=1,$A42,"")</f>
        <v/>
      </c>
      <c r="I42" s="46" t="str">
        <f>IF(data_주일!Z311=1,$A42,"")</f>
        <v>차경은</v>
      </c>
      <c r="J42" s="46" t="str">
        <f>IF(data_주일!AA311=1,$A42,"")</f>
        <v/>
      </c>
      <c r="K42" s="46" t="str">
        <f>IF(data_주일!AB311=1,$A42,"")</f>
        <v/>
      </c>
      <c r="L42" s="46" t="str">
        <f>IF(data_주일!AC311=1,$A42,"")</f>
        <v/>
      </c>
    </row>
    <row r="43" spans="1:12" ht="12.95" customHeight="1" x14ac:dyDescent="0.3">
      <c r="A43" s="40" t="str">
        <f>IF(data_주일!C312="","",data_주일!C312)</f>
        <v>차미나</v>
      </c>
      <c r="B43" s="86" t="str">
        <f>IF(data_주일!D312="","",data_주일!D312)</f>
        <v>이지영</v>
      </c>
      <c r="C43" s="87"/>
      <c r="D43" s="40">
        <f>IF(data_주일!B312="","",data_주일!B312)</f>
        <v>11</v>
      </c>
      <c r="E43" s="46" t="str">
        <f>IF(data_주일!V312=1,$A43,"")</f>
        <v/>
      </c>
      <c r="F43" s="46" t="str">
        <f>IF(data_주일!W312=1,$A43,"")</f>
        <v/>
      </c>
      <c r="G43" s="46" t="str">
        <f>IF(data_주일!X312=1,$A43,"")</f>
        <v/>
      </c>
      <c r="H43" s="46" t="str">
        <f>IF(data_주일!Y312=1,$A43,"")</f>
        <v/>
      </c>
      <c r="I43" s="46" t="str">
        <f>IF(data_주일!Z312=1,$A43,"")</f>
        <v>차미나</v>
      </c>
      <c r="J43" s="46" t="str">
        <f>IF(data_주일!AA312=1,$A43,"")</f>
        <v/>
      </c>
      <c r="K43" s="46" t="str">
        <f>IF(data_주일!AB312=1,$A43,"")</f>
        <v/>
      </c>
      <c r="L43" s="46" t="str">
        <f>IF(data_주일!AC312=1,$A43,"")</f>
        <v/>
      </c>
    </row>
    <row r="44" spans="1:12" ht="12.95" customHeight="1" x14ac:dyDescent="0.3">
      <c r="A44" s="40" t="str">
        <f>IF(data_주일!C318="","",data_주일!C318)</f>
        <v>신현금</v>
      </c>
      <c r="B44" s="86" t="str">
        <f>IF(data_주일!D318="","",data_주일!D318)</f>
        <v>김재홍</v>
      </c>
      <c r="C44" s="87"/>
      <c r="D44" s="40">
        <f>IF(data_주일!B318="","",data_주일!B318)</f>
        <v>21</v>
      </c>
      <c r="E44" s="46" t="str">
        <f>IF(data_주일!V318=1,$A44,"")</f>
        <v/>
      </c>
      <c r="F44" s="46" t="str">
        <f>IF(data_주일!W318=1,$A44,"")</f>
        <v/>
      </c>
      <c r="G44" s="46" t="str">
        <f>IF(data_주일!X318=1,$A44,"")</f>
        <v/>
      </c>
      <c r="H44" s="46" t="str">
        <f>IF(data_주일!Y318=1,$A44,"")</f>
        <v/>
      </c>
      <c r="I44" s="46" t="str">
        <f>IF(data_주일!Z318=1,$A44,"")</f>
        <v>신현금</v>
      </c>
      <c r="J44" s="46" t="str">
        <f>IF(data_주일!AA318=1,$A44,"")</f>
        <v/>
      </c>
      <c r="K44" s="46" t="str">
        <f>IF(data_주일!AB318=1,$A44,"")</f>
        <v>신현금</v>
      </c>
      <c r="L44" s="46" t="str">
        <f>IF(data_주일!AC318=1,$A44,"")</f>
        <v>신현금</v>
      </c>
    </row>
    <row r="45" spans="1:12" ht="12.95" customHeight="1" x14ac:dyDescent="0.3">
      <c r="A45" s="40" t="str">
        <f>IF(data_주일!C319="","",data_주일!C319)</f>
        <v>노정희</v>
      </c>
      <c r="B45" s="86" t="str">
        <f>IF(data_주일!D319="","",data_주일!D319)</f>
        <v>박점숙</v>
      </c>
      <c r="C45" s="87"/>
      <c r="D45" s="40">
        <f>IF(data_주일!B319="","",data_주일!B319)</f>
        <v>21</v>
      </c>
      <c r="E45" s="46" t="str">
        <f>IF(data_주일!V319=1,$A45,"")</f>
        <v/>
      </c>
      <c r="F45" s="46" t="str">
        <f>IF(data_주일!W319=1,$A45,"")</f>
        <v/>
      </c>
      <c r="G45" s="46" t="str">
        <f>IF(data_주일!X319=1,$A45,"")</f>
        <v/>
      </c>
      <c r="H45" s="46" t="str">
        <f>IF(data_주일!Y319=1,$A45,"")</f>
        <v/>
      </c>
      <c r="I45" s="46" t="str">
        <f>IF(data_주일!Z319=1,$A45,"")</f>
        <v>노정희</v>
      </c>
      <c r="J45" s="46" t="str">
        <f>IF(data_주일!AA319=1,$A45,"")</f>
        <v/>
      </c>
      <c r="K45" s="46" t="str">
        <f>IF(data_주일!AB319=1,$A45,"")</f>
        <v>노정희</v>
      </c>
      <c r="L45" s="46" t="str">
        <f>IF(data_주일!AC319=1,$A45,"")</f>
        <v>노정희</v>
      </c>
    </row>
    <row r="46" spans="1:12" ht="12.95" customHeight="1" x14ac:dyDescent="0.3">
      <c r="A46" s="40" t="str">
        <f>IF(data_주일!C321="","",data_주일!C321)</f>
        <v>김창명</v>
      </c>
      <c r="B46" s="86" t="str">
        <f>IF(data_주일!D321="","",data_주일!D321)</f>
        <v>배미숙</v>
      </c>
      <c r="C46" s="87"/>
      <c r="D46" s="40">
        <f>IF(data_주일!B321="","",data_주일!B321)</f>
        <v>22</v>
      </c>
      <c r="E46" s="46" t="str">
        <f>IF(data_주일!V321=1,$A46,"")</f>
        <v>김창명</v>
      </c>
      <c r="F46" s="46" t="str">
        <f>IF(data_주일!W321=1,$A46,"")</f>
        <v/>
      </c>
      <c r="G46" s="46" t="str">
        <f>IF(data_주일!X321=1,$A46,"")</f>
        <v/>
      </c>
      <c r="H46" s="46" t="str">
        <f>IF(data_주일!Y321=1,$A46,"")</f>
        <v>김창명</v>
      </c>
      <c r="I46" s="46" t="str">
        <f>IF(data_주일!Z321=1,$A46,"")</f>
        <v>김창명</v>
      </c>
      <c r="J46" s="46" t="str">
        <f>IF(data_주일!AA321=1,$A46,"")</f>
        <v/>
      </c>
      <c r="K46" s="46" t="str">
        <f>IF(data_주일!AB321=1,$A46,"")</f>
        <v>김창명</v>
      </c>
      <c r="L46" s="46" t="str">
        <f>IF(data_주일!AC321=1,$A46,"")</f>
        <v/>
      </c>
    </row>
    <row r="47" spans="1:12" ht="12.95" customHeight="1" x14ac:dyDescent="0.3">
      <c r="A47" s="40" t="str">
        <f>IF(data_주일!C323="","",data_주일!C323)</f>
        <v>이경옥</v>
      </c>
      <c r="B47" s="86" t="str">
        <f>IF(data_주일!D323="","",data_주일!D323)</f>
        <v>배미숙</v>
      </c>
      <c r="C47" s="87"/>
      <c r="D47" s="40">
        <f>IF(data_주일!B323="","",data_주일!B323)</f>
        <v>22</v>
      </c>
      <c r="E47" s="46" t="str">
        <f>IF(data_주일!V323=1,$A47,"")</f>
        <v/>
      </c>
      <c r="F47" s="46" t="str">
        <f>IF(data_주일!W323=1,$A47,"")</f>
        <v/>
      </c>
      <c r="G47" s="46" t="str">
        <f>IF(data_주일!X323=1,$A47,"")</f>
        <v/>
      </c>
      <c r="H47" s="46" t="str">
        <f>IF(data_주일!Y323=1,$A47,"")</f>
        <v/>
      </c>
      <c r="I47" s="46" t="str">
        <f>IF(data_주일!Z323=1,$A47,"")</f>
        <v>이경옥</v>
      </c>
      <c r="J47" s="46" t="str">
        <f>IF(data_주일!AA323=1,$A47,"")</f>
        <v/>
      </c>
      <c r="K47" s="46" t="str">
        <f>IF(data_주일!AB323=1,$A47,"")</f>
        <v/>
      </c>
      <c r="L47" s="46" t="str">
        <f>IF(data_주일!AC323=1,$A47,"")</f>
        <v>이경옥</v>
      </c>
    </row>
    <row r="48" spans="1:12" ht="12.95" customHeight="1" x14ac:dyDescent="0.3">
      <c r="A48" s="40" t="str">
        <f>IF(data_주일!C325="","",data_주일!C325)</f>
        <v>정니영</v>
      </c>
      <c r="B48" s="86" t="str">
        <f>IF(data_주일!D325="","",data_주일!D325)</f>
        <v>박미옥</v>
      </c>
      <c r="C48" s="87"/>
      <c r="D48" s="40">
        <f>IF(data_주일!B325="","",data_주일!B325)</f>
        <v>22</v>
      </c>
      <c r="E48" s="46" t="str">
        <f>IF(data_주일!V325=1,$A48,"")</f>
        <v/>
      </c>
      <c r="F48" s="46" t="str">
        <f>IF(data_주일!W325=1,$A48,"")</f>
        <v/>
      </c>
      <c r="G48" s="46" t="str">
        <f>IF(data_주일!X325=1,$A48,"")</f>
        <v/>
      </c>
      <c r="H48" s="46" t="str">
        <f>IF(data_주일!Y325=1,$A48,"")</f>
        <v/>
      </c>
      <c r="I48" s="46" t="str">
        <f>IF(data_주일!Z325=1,$A48,"")</f>
        <v/>
      </c>
      <c r="J48" s="46" t="str">
        <f>IF(data_주일!AA325=1,$A48,"")</f>
        <v/>
      </c>
      <c r="K48" s="46" t="str">
        <f>IF(data_주일!AB325=1,$A48,"")</f>
        <v/>
      </c>
      <c r="L48" s="46" t="str">
        <f>IF(data_주일!AC325=1,$A48,"")</f>
        <v>정니영</v>
      </c>
    </row>
    <row r="49" spans="1:12" ht="12.95" customHeight="1" x14ac:dyDescent="0.3">
      <c r="A49" s="40" t="str">
        <f>IF(data_주일!C326="","",data_주일!C326)</f>
        <v>김명선</v>
      </c>
      <c r="B49" s="86" t="str">
        <f>IF(data_주일!D326="","",data_주일!D326)</f>
        <v>김명선</v>
      </c>
      <c r="C49" s="87"/>
      <c r="D49" s="40">
        <f>IF(data_주일!B326="","",data_주일!B326)</f>
        <v>31</v>
      </c>
      <c r="E49" s="46" t="str">
        <f>IF(data_주일!V326=1,$A49,"")</f>
        <v/>
      </c>
      <c r="F49" s="46" t="str">
        <f>IF(data_주일!W326=1,$A49,"")</f>
        <v/>
      </c>
      <c r="G49" s="46" t="str">
        <f>IF(data_주일!X326=1,$A49,"")</f>
        <v/>
      </c>
      <c r="H49" s="46" t="str">
        <f>IF(data_주일!Y326=1,$A49,"")</f>
        <v/>
      </c>
      <c r="I49" s="46" t="str">
        <f>IF(data_주일!Z326=1,$A49,"")</f>
        <v>김명선</v>
      </c>
      <c r="J49" s="46" t="str">
        <f>IF(data_주일!AA326=1,$A49,"")</f>
        <v>김명선</v>
      </c>
      <c r="K49" s="46" t="str">
        <f>IF(data_주일!AB326=1,$A49,"")</f>
        <v>김명선</v>
      </c>
      <c r="L49" s="46" t="str">
        <f>IF(data_주일!AC326=1,$A49,"")</f>
        <v>김명선</v>
      </c>
    </row>
    <row r="50" spans="1:12" ht="12.95" customHeight="1" x14ac:dyDescent="0.3">
      <c r="A50" s="40" t="str">
        <f>IF(data_주일!C328="","",data_주일!C328)</f>
        <v>정양선</v>
      </c>
      <c r="B50" s="86" t="str">
        <f>IF(data_주일!D328="","",data_주일!D328)</f>
        <v>이미화</v>
      </c>
      <c r="C50" s="87"/>
      <c r="D50" s="40">
        <f>IF(data_주일!B328="","",data_주일!B328)</f>
        <v>32</v>
      </c>
      <c r="E50" s="46" t="str">
        <f>IF(data_주일!V328=1,$A50,"")</f>
        <v/>
      </c>
      <c r="F50" s="46" t="str">
        <f>IF(data_주일!W328=1,$A50,"")</f>
        <v/>
      </c>
      <c r="G50" s="46" t="str">
        <f>IF(data_주일!X328=1,$A50,"")</f>
        <v/>
      </c>
      <c r="H50" s="46" t="str">
        <f>IF(data_주일!Y328=1,$A50,"")</f>
        <v/>
      </c>
      <c r="I50" s="46" t="str">
        <f>IF(data_주일!Z328=1,$A50,"")</f>
        <v>정양선</v>
      </c>
      <c r="J50" s="46" t="str">
        <f>IF(data_주일!AA328=1,$A50,"")</f>
        <v>정양선</v>
      </c>
      <c r="K50" s="46" t="str">
        <f>IF(data_주일!AB328=1,$A50,"")</f>
        <v/>
      </c>
      <c r="L50" s="46" t="str">
        <f>IF(data_주일!AC328=1,$A50,"")</f>
        <v/>
      </c>
    </row>
    <row r="51" spans="1:12" ht="12.95" customHeight="1" x14ac:dyDescent="0.3">
      <c r="A51" s="40" t="str">
        <f>IF(data_주일!C329="","",data_주일!C329)</f>
        <v>최영욱</v>
      </c>
      <c r="B51" s="86" t="str">
        <f>IF(data_주일!D329="","",data_주일!D329)</f>
        <v>최명희</v>
      </c>
      <c r="C51" s="87"/>
      <c r="D51" s="40">
        <f>IF(data_주일!B329="","",data_주일!B329)</f>
        <v>32</v>
      </c>
      <c r="E51" s="46" t="str">
        <f>IF(data_주일!V329=1,$A51,"")</f>
        <v/>
      </c>
      <c r="F51" s="46" t="str">
        <f>IF(data_주일!W329=1,$A51,"")</f>
        <v/>
      </c>
      <c r="G51" s="46" t="str">
        <f>IF(data_주일!X329=1,$A51,"")</f>
        <v/>
      </c>
      <c r="H51" s="46" t="str">
        <f>IF(data_주일!Y329=1,$A51,"")</f>
        <v/>
      </c>
      <c r="I51" s="46" t="str">
        <f>IF(data_주일!Z329=1,$A51,"")</f>
        <v/>
      </c>
      <c r="J51" s="46" t="str">
        <f>IF(data_주일!AA329=1,$A51,"")</f>
        <v/>
      </c>
      <c r="K51" s="46" t="str">
        <f>IF(data_주일!AB329=1,$A51,"")</f>
        <v/>
      </c>
      <c r="L51" s="46" t="str">
        <f>IF(data_주일!AC329=1,$A51,"")</f>
        <v/>
      </c>
    </row>
    <row r="52" spans="1:12" ht="12.95" customHeight="1" x14ac:dyDescent="0.3">
      <c r="A52" s="40" t="str">
        <f>IF(data_주일!C330="","",data_주일!C330)</f>
        <v>최명희</v>
      </c>
      <c r="B52" s="86" t="str">
        <f>IF(data_주일!D330="","",data_주일!D330)</f>
        <v>윤영희</v>
      </c>
      <c r="C52" s="87"/>
      <c r="D52" s="40">
        <f>IF(data_주일!B330="","",data_주일!B330)</f>
        <v>32</v>
      </c>
      <c r="E52" s="46" t="str">
        <f>IF(data_주일!V330=1,$A52,"")</f>
        <v/>
      </c>
      <c r="F52" s="46" t="str">
        <f>IF(data_주일!W330=1,$A52,"")</f>
        <v/>
      </c>
      <c r="G52" s="46" t="str">
        <f>IF(data_주일!X330=1,$A52,"")</f>
        <v/>
      </c>
      <c r="H52" s="46" t="str">
        <f>IF(data_주일!Y330=1,$A52,"")</f>
        <v/>
      </c>
      <c r="I52" s="46" t="str">
        <f>IF(data_주일!Z330=1,$A52,"")</f>
        <v/>
      </c>
      <c r="J52" s="46" t="str">
        <f>IF(data_주일!AA330=1,$A52,"")</f>
        <v/>
      </c>
      <c r="K52" s="46" t="str">
        <f>IF(data_주일!AB330=1,$A52,"")</f>
        <v/>
      </c>
      <c r="L52" s="46" t="str">
        <f>IF(data_주일!AC330=1,$A52,"")</f>
        <v/>
      </c>
    </row>
    <row r="53" spans="1:12" ht="12.95" customHeight="1" x14ac:dyDescent="0.3">
      <c r="A53" s="40" t="str">
        <f>IF(data_주일!C331="","",data_주일!C331)</f>
        <v>이예인</v>
      </c>
      <c r="B53" s="86" t="str">
        <f>IF(data_주일!D331="","",data_주일!D331)</f>
        <v>오은경</v>
      </c>
      <c r="C53" s="87"/>
      <c r="D53" s="40">
        <f>IF(data_주일!B331="","",data_주일!B331)</f>
        <v>32</v>
      </c>
      <c r="E53" s="46" t="str">
        <f>IF(data_주일!V331=1,$A53,"")</f>
        <v/>
      </c>
      <c r="F53" s="46" t="str">
        <f>IF(data_주일!W331=1,$A53,"")</f>
        <v/>
      </c>
      <c r="G53" s="46" t="str">
        <f>IF(data_주일!X331=1,$A53,"")</f>
        <v/>
      </c>
      <c r="H53" s="46" t="str">
        <f>IF(data_주일!Y331=1,$A53,"")</f>
        <v/>
      </c>
      <c r="I53" s="46" t="str">
        <f>IF(data_주일!Z331=1,$A53,"")</f>
        <v/>
      </c>
      <c r="J53" s="46" t="str">
        <f>IF(data_주일!AA331=1,$A53,"")</f>
        <v/>
      </c>
      <c r="K53" s="46" t="str">
        <f>IF(data_주일!AB331=1,$A53,"")</f>
        <v/>
      </c>
      <c r="L53" s="46" t="str">
        <f>IF(data_주일!AC331=1,$A53,"")</f>
        <v>이예인</v>
      </c>
    </row>
    <row r="54" spans="1:12" ht="12.95" customHeight="1" x14ac:dyDescent="0.3">
      <c r="A54" s="40" t="str">
        <f>IF(data_주일!C332="","",data_주일!C332)</f>
        <v>오상진</v>
      </c>
      <c r="B54" s="86" t="str">
        <f>IF(data_주일!D332="","",data_주일!D332)</f>
        <v>최명희</v>
      </c>
      <c r="C54" s="87"/>
      <c r="D54" s="40">
        <f>IF(data_주일!B332="","",data_주일!B332)</f>
        <v>32</v>
      </c>
      <c r="E54" s="46" t="str">
        <f>IF(data_주일!V332=1,$A54,"")</f>
        <v/>
      </c>
      <c r="F54" s="46" t="str">
        <f>IF(data_주일!W332=1,$A54,"")</f>
        <v/>
      </c>
      <c r="G54" s="46" t="str">
        <f>IF(data_주일!X332=1,$A54,"")</f>
        <v/>
      </c>
      <c r="H54" s="46" t="str">
        <f>IF(data_주일!Y332=1,$A54,"")</f>
        <v/>
      </c>
      <c r="I54" s="46" t="str">
        <f>IF(data_주일!Z332=1,$A54,"")</f>
        <v/>
      </c>
      <c r="J54" s="46" t="str">
        <f>IF(data_주일!AA332=1,$A54,"")</f>
        <v/>
      </c>
      <c r="K54" s="46" t="str">
        <f>IF(data_주일!AB332=1,$A54,"")</f>
        <v/>
      </c>
      <c r="L54" s="46" t="str">
        <f>IF(data_주일!AC332=1,$A54,"")</f>
        <v>오상진</v>
      </c>
    </row>
    <row r="55" spans="1:12" ht="12.95" customHeight="1" x14ac:dyDescent="0.3">
      <c r="A55" s="40" t="str">
        <f>IF(data_주일!C335="","",data_주일!C335)</f>
        <v>김예솔</v>
      </c>
      <c r="B55" s="86" t="str">
        <f>IF(data_주일!D335="","",data_주일!D335)</f>
        <v>백종애</v>
      </c>
      <c r="C55" s="87"/>
      <c r="D55" s="40">
        <f>IF(data_주일!B335="","",data_주일!B335)</f>
        <v>41</v>
      </c>
      <c r="E55" s="46" t="str">
        <f>IF(data_주일!V335=1,$A55,"")</f>
        <v/>
      </c>
      <c r="F55" s="46" t="str">
        <f>IF(data_주일!W335=1,$A55,"")</f>
        <v/>
      </c>
      <c r="G55" s="46" t="str">
        <f>IF(data_주일!X335=1,$A55,"")</f>
        <v/>
      </c>
      <c r="H55" s="46" t="str">
        <f>IF(data_주일!Y335=1,$A55,"")</f>
        <v/>
      </c>
      <c r="I55" s="46" t="str">
        <f>IF(data_주일!Z335=1,$A55,"")</f>
        <v>김예솔</v>
      </c>
      <c r="J55" s="46" t="str">
        <f>IF(data_주일!AA335=1,$A55,"")</f>
        <v>김예솔</v>
      </c>
      <c r="K55" s="46" t="str">
        <f>IF(data_주일!AB335=1,$A55,"")</f>
        <v>김예솔</v>
      </c>
      <c r="L55" s="46" t="str">
        <f>IF(data_주일!AC335=1,$A55,"")</f>
        <v>김예솔</v>
      </c>
    </row>
    <row r="56" spans="1:12" ht="12.95" customHeight="1" x14ac:dyDescent="0.3">
      <c r="A56" s="40" t="str">
        <f>IF(data_주일!C336="","",data_주일!C336)</f>
        <v>허수희</v>
      </c>
      <c r="B56" s="86" t="str">
        <f>IF(data_주일!D336="","",data_주일!D336)</f>
        <v>이지영</v>
      </c>
      <c r="C56" s="87"/>
      <c r="D56" s="40">
        <f>IF(data_주일!B336="","",data_주일!B336)</f>
        <v>41</v>
      </c>
      <c r="E56" s="46" t="str">
        <f>IF(data_주일!V336=1,$A56,"")</f>
        <v/>
      </c>
      <c r="F56" s="46" t="str">
        <f>IF(data_주일!W336=1,$A56,"")</f>
        <v/>
      </c>
      <c r="G56" s="46" t="str">
        <f>IF(data_주일!X336=1,$A56,"")</f>
        <v/>
      </c>
      <c r="H56" s="46" t="str">
        <f>IF(data_주일!Y336=1,$A56,"")</f>
        <v/>
      </c>
      <c r="I56" s="46" t="str">
        <f>IF(data_주일!Z336=1,$A56,"")</f>
        <v/>
      </c>
      <c r="J56" s="46" t="str">
        <f>IF(data_주일!AA336=1,$A56,"")</f>
        <v/>
      </c>
      <c r="K56" s="46" t="str">
        <f>IF(data_주일!AB336=1,$A56,"")</f>
        <v/>
      </c>
      <c r="L56" s="46" t="str">
        <f>IF(data_주일!AC336=1,$A56,"")</f>
        <v/>
      </c>
    </row>
    <row r="57" spans="1:12" ht="12.95" customHeight="1" x14ac:dyDescent="0.3">
      <c r="A57" s="40" t="str">
        <f>IF(data_주일!C337="","",data_주일!C337)</f>
        <v>김성수</v>
      </c>
      <c r="B57" s="86" t="str">
        <f>IF(data_주일!D337="","",data_주일!D337)</f>
        <v>박성찬</v>
      </c>
      <c r="C57" s="87"/>
      <c r="D57" s="40">
        <f>IF(data_주일!B337="","",data_주일!B337)</f>
        <v>42</v>
      </c>
      <c r="E57" s="46" t="str">
        <f>IF(data_주일!V337=1,$A57,"")</f>
        <v/>
      </c>
      <c r="F57" s="46" t="str">
        <f>IF(data_주일!W337=1,$A57,"")</f>
        <v/>
      </c>
      <c r="G57" s="46" t="str">
        <f>IF(data_주일!X337=1,$A57,"")</f>
        <v/>
      </c>
      <c r="H57" s="46" t="str">
        <f>IF(data_주일!Y337=1,$A57,"")</f>
        <v/>
      </c>
      <c r="I57" s="46" t="str">
        <f>IF(data_주일!Z337=1,$A57,"")</f>
        <v/>
      </c>
      <c r="J57" s="46" t="str">
        <f>IF(data_주일!AA337=1,$A57,"")</f>
        <v/>
      </c>
      <c r="K57" s="46" t="str">
        <f>IF(data_주일!AB337=1,$A57,"")</f>
        <v/>
      </c>
      <c r="L57" s="46" t="str">
        <f>IF(data_주일!AC337=1,$A57,"")</f>
        <v/>
      </c>
    </row>
    <row r="58" spans="1:12" ht="12.95" customHeight="1" x14ac:dyDescent="0.3">
      <c r="A58" s="40" t="str">
        <f>IF(data_주일!C338="","",data_주일!C338)</f>
        <v>이남경</v>
      </c>
      <c r="B58" s="86" t="str">
        <f>IF(data_주일!D338="","",data_주일!D338)</f>
        <v>김성수</v>
      </c>
      <c r="C58" s="87"/>
      <c r="D58" s="40">
        <f>IF(data_주일!B338="","",data_주일!B338)</f>
        <v>42</v>
      </c>
      <c r="E58" s="46" t="str">
        <f>IF(data_주일!V338=1,$A58,"")</f>
        <v/>
      </c>
      <c r="F58" s="46" t="str">
        <f>IF(data_주일!W338=1,$A58,"")</f>
        <v/>
      </c>
      <c r="G58" s="46" t="str">
        <f>IF(data_주일!X338=1,$A58,"")</f>
        <v/>
      </c>
      <c r="H58" s="46" t="str">
        <f>IF(data_주일!Y338=1,$A58,"")</f>
        <v/>
      </c>
      <c r="I58" s="46" t="str">
        <f>IF(data_주일!Z338=1,$A58,"")</f>
        <v/>
      </c>
      <c r="J58" s="46" t="str">
        <f>IF(data_주일!AA338=1,$A58,"")</f>
        <v/>
      </c>
      <c r="K58" s="46" t="str">
        <f>IF(data_주일!AB338=1,$A58,"")</f>
        <v/>
      </c>
      <c r="L58" s="46" t="str">
        <f>IF(data_주일!AC338=1,$A58,"")</f>
        <v/>
      </c>
    </row>
    <row r="59" spans="1:12" ht="12.95" customHeight="1" x14ac:dyDescent="0.3">
      <c r="A59" s="40" t="str">
        <f>IF(data_주일!C339="","",data_주일!C339)</f>
        <v>김광홍</v>
      </c>
      <c r="B59" s="86" t="str">
        <f>IF(data_주일!D339="","",data_주일!D339)</f>
        <v>서영석</v>
      </c>
      <c r="C59" s="87"/>
      <c r="D59" s="40">
        <f>IF(data_주일!B339="","",data_주일!B339)</f>
        <v>43</v>
      </c>
      <c r="E59" s="46" t="str">
        <f>IF(data_주일!V339=1,$A59,"")</f>
        <v/>
      </c>
      <c r="F59" s="46" t="str">
        <f>IF(data_주일!W339=1,$A59,"")</f>
        <v/>
      </c>
      <c r="G59" s="46" t="str">
        <f>IF(data_주일!X339=1,$A59,"")</f>
        <v/>
      </c>
      <c r="H59" s="46" t="str">
        <f>IF(data_주일!Y339=1,$A59,"")</f>
        <v/>
      </c>
      <c r="I59" s="46" t="str">
        <f>IF(data_주일!Z339=1,$A59,"")</f>
        <v/>
      </c>
      <c r="J59" s="46" t="str">
        <f>IF(data_주일!AA339=1,$A59,"")</f>
        <v/>
      </c>
      <c r="K59" s="46" t="str">
        <f>IF(data_주일!AB339=1,$A59,"")</f>
        <v/>
      </c>
      <c r="L59" s="46" t="str">
        <f>IF(data_주일!AC339=1,$A59,"")</f>
        <v/>
      </c>
    </row>
    <row r="60" spans="1:12" ht="12.95" customHeight="1" x14ac:dyDescent="0.3">
      <c r="A60" s="40" t="str">
        <f>IF(data_주일!C340="","",data_주일!C340)</f>
        <v/>
      </c>
      <c r="B60" s="86" t="str">
        <f>IF(data_주일!D340="","",data_주일!D340)</f>
        <v/>
      </c>
      <c r="C60" s="87"/>
      <c r="D60" s="40" t="str">
        <f>IF(data_주일!B340="","",data_주일!B340)</f>
        <v/>
      </c>
      <c r="E60" s="46" t="str">
        <f>IF(data_주일!V340=1,$A60,"")</f>
        <v/>
      </c>
      <c r="F60" s="46" t="str">
        <f>IF(data_주일!W340=1,$A60,"")</f>
        <v/>
      </c>
      <c r="G60" s="46" t="str">
        <f>IF(data_주일!X340=1,$A60,"")</f>
        <v/>
      </c>
      <c r="H60" s="46" t="str">
        <f>IF(data_주일!Y340=1,$A60,"")</f>
        <v/>
      </c>
      <c r="I60" s="46" t="str">
        <f>IF(data_주일!Z340=1,$A60,"")</f>
        <v/>
      </c>
      <c r="J60" s="46" t="str">
        <f>IF(data_주일!AA340=1,$A60,"")</f>
        <v/>
      </c>
      <c r="K60" s="46" t="str">
        <f>IF(data_주일!AB340=1,$A60,"")</f>
        <v/>
      </c>
      <c r="L60" s="46" t="str">
        <f>IF(data_주일!AC340=1,$A60,"")</f>
        <v/>
      </c>
    </row>
    <row r="61" spans="1:12" ht="12.95" customHeight="1" x14ac:dyDescent="0.3">
      <c r="A61" s="110" t="s">
        <v>360</v>
      </c>
      <c r="B61" s="111"/>
      <c r="C61" s="111"/>
      <c r="D61" s="112"/>
      <c r="E61" s="56">
        <f>COUNTA(E40:E55)-COUNTIF(E40:E55,"")</f>
        <v>1</v>
      </c>
      <c r="F61" s="56">
        <f t="shared" ref="F61:L61" si="1">COUNTA(F40:F55)-COUNTIF(F40:F55,"")</f>
        <v>0</v>
      </c>
      <c r="G61" s="56">
        <f t="shared" si="1"/>
        <v>0</v>
      </c>
      <c r="H61" s="56">
        <f t="shared" si="1"/>
        <v>1</v>
      </c>
      <c r="I61" s="56">
        <f t="shared" si="1"/>
        <v>10</v>
      </c>
      <c r="J61" s="56">
        <f t="shared" si="1"/>
        <v>3</v>
      </c>
      <c r="K61" s="56">
        <f t="shared" si="1"/>
        <v>5</v>
      </c>
      <c r="L61" s="56">
        <f t="shared" si="1"/>
        <v>8</v>
      </c>
    </row>
    <row r="62" spans="1:12" ht="12.95" customHeight="1" x14ac:dyDescent="0.3">
      <c r="A62" s="106" t="s">
        <v>386</v>
      </c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</sheetData>
  <mergeCells count="32">
    <mergeCell ref="B58:C58"/>
    <mergeCell ref="B57:C57"/>
    <mergeCell ref="B49:C49"/>
    <mergeCell ref="B50:C50"/>
    <mergeCell ref="B51:C51"/>
    <mergeCell ref="B52:C52"/>
    <mergeCell ref="B53:C53"/>
    <mergeCell ref="B54:C54"/>
    <mergeCell ref="A62:L62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55:C55"/>
    <mergeCell ref="B59:C59"/>
    <mergeCell ref="B60:C60"/>
    <mergeCell ref="B48:C48"/>
    <mergeCell ref="A61:D61"/>
    <mergeCell ref="B56:C56"/>
    <mergeCell ref="A34:L34"/>
    <mergeCell ref="A27:D27"/>
    <mergeCell ref="A28:L28"/>
    <mergeCell ref="A29:L29"/>
    <mergeCell ref="A13:C13"/>
    <mergeCell ref="A14:C14"/>
    <mergeCell ref="A25:C25"/>
    <mergeCell ref="A26:C26"/>
  </mergeCells>
  <phoneticPr fontId="7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  <rowBreaks count="1" manualBreakCount="1">
    <brk id="28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2B94-90D2-4E27-AABB-556E4245CA3D}">
  <sheetPr>
    <pageSetUpPr fitToPage="1"/>
  </sheetPr>
  <dimension ref="C1:T61"/>
  <sheetViews>
    <sheetView showGridLines="0" view="pageBreakPreview" topLeftCell="A25" zoomScaleNormal="100" zoomScaleSheetLayoutView="100" workbookViewId="0">
      <selection activeCell="T53" sqref="T53"/>
    </sheetView>
  </sheetViews>
  <sheetFormatPr defaultColWidth="9" defaultRowHeight="16.5" x14ac:dyDescent="0.3"/>
  <cols>
    <col min="1" max="2" width="1.75" style="29" customWidth="1"/>
    <col min="3" max="3" width="7.75" style="28" customWidth="1"/>
    <col min="4" max="5" width="3.75" style="28" customWidth="1"/>
    <col min="6" max="6" width="10.25" style="28" customWidth="1"/>
    <col min="7" max="10" width="9.75" style="28" hidden="1" customWidth="1"/>
    <col min="11" max="15" width="9.75" style="28" customWidth="1"/>
    <col min="16" max="17" width="9.75" style="29" customWidth="1"/>
    <col min="18" max="19" width="9.75" style="29" hidden="1" customWidth="1"/>
    <col min="20" max="20" width="13.75" style="66" customWidth="1"/>
    <col min="21" max="21" width="1.75" style="29" customWidth="1"/>
    <col min="22" max="16384" width="9" style="29"/>
  </cols>
  <sheetData>
    <row r="1" spans="3:20" ht="16.149999999999999" customHeight="1" x14ac:dyDescent="0.3"/>
    <row r="2" spans="3:20" ht="16.149999999999999" customHeight="1" x14ac:dyDescent="0.3"/>
    <row r="3" spans="3:20" ht="16.149999999999999" customHeight="1" x14ac:dyDescent="0.3"/>
    <row r="4" spans="3:20" ht="16.149999999999999" customHeight="1" x14ac:dyDescent="0.3"/>
    <row r="5" spans="3:20" ht="16.149999999999999" customHeight="1" x14ac:dyDescent="0.3"/>
    <row r="6" spans="3:20" ht="16.149999999999999" customHeight="1" x14ac:dyDescent="0.3"/>
    <row r="7" spans="3:20" ht="16.149999999999999" customHeight="1" x14ac:dyDescent="0.3"/>
    <row r="8" spans="3:20" ht="16.149999999999999" customHeight="1" x14ac:dyDescent="0.3"/>
    <row r="9" spans="3:20" ht="16.149999999999999" customHeight="1" x14ac:dyDescent="0.3"/>
    <row r="10" spans="3:20" ht="16.149999999999999" customHeight="1" x14ac:dyDescent="0.3"/>
    <row r="11" spans="3:20" ht="16.149999999999999" customHeight="1" x14ac:dyDescent="0.3"/>
    <row r="12" spans="3:20" ht="41.45" customHeight="1" x14ac:dyDescent="0.3"/>
    <row r="13" spans="3:20" ht="16.149999999999999" customHeight="1" x14ac:dyDescent="0.3">
      <c r="C13" s="90" t="s">
        <v>346</v>
      </c>
      <c r="D13" s="91"/>
      <c r="E13" s="92"/>
      <c r="F13" s="78" t="s">
        <v>341</v>
      </c>
      <c r="G13" s="65">
        <v>45752</v>
      </c>
      <c r="H13" s="65">
        <v>45759</v>
      </c>
      <c r="I13" s="65">
        <v>45766</v>
      </c>
      <c r="J13" s="65">
        <v>45773</v>
      </c>
      <c r="K13" s="6">
        <v>45780</v>
      </c>
      <c r="L13" s="6">
        <v>45787</v>
      </c>
      <c r="M13" s="6">
        <v>45794</v>
      </c>
      <c r="N13" s="6">
        <v>45801</v>
      </c>
      <c r="O13" s="6">
        <v>45808</v>
      </c>
      <c r="P13" s="6">
        <v>45815</v>
      </c>
      <c r="Q13" s="6">
        <v>45822</v>
      </c>
      <c r="R13" s="6">
        <v>45829</v>
      </c>
      <c r="S13" s="6">
        <v>45835</v>
      </c>
      <c r="T13" s="79" t="s">
        <v>393</v>
      </c>
    </row>
    <row r="14" spans="3:20" ht="16.149999999999999" customHeight="1" x14ac:dyDescent="0.3">
      <c r="C14" s="93" t="s">
        <v>342</v>
      </c>
      <c r="D14" s="94"/>
      <c r="E14" s="94"/>
      <c r="F14" s="67">
        <v>288</v>
      </c>
      <c r="G14" s="68">
        <f>SUMIF(data_주일!V$11:V$303,1,data_주일!V$11:V$303)</f>
        <v>197</v>
      </c>
      <c r="H14" s="68">
        <f>SUMIF(data_주일!W$11:W$303,1,data_주일!W$11:W$303)</f>
        <v>193</v>
      </c>
      <c r="I14" s="68">
        <f>SUMIF(data_주일!X$11:X$303,1,data_주일!X$11:X$303)</f>
        <v>216</v>
      </c>
      <c r="J14" s="68">
        <f>SUMIF(data_주일!Y$11:Y$303,1,data_주일!Y$11:Y$303)</f>
        <v>212</v>
      </c>
      <c r="K14" s="68">
        <f>IF(SUMIF(data_주일!Z$11:Z$303,1,data_주일!Z$11:Z$303)&gt;0,SUMIF(data_주일!Z$11:Z$303,1,data_주일!Z$11:Z$303),"")</f>
        <v>201</v>
      </c>
      <c r="L14" s="68">
        <f>IF(SUMIF(data_주일!AA$11:AA$303,1,data_주일!AA$11:AA$303)&gt;0,SUMIF(data_주일!AA$11:AA$303,1,data_주일!AA$11:AA$303),"")</f>
        <v>198</v>
      </c>
      <c r="M14" s="68">
        <f>IF(SUMIF(data_주일!AB$11:AB$303,1,data_주일!AB$11:AB$303)&gt;0,SUMIF(data_주일!AB$11:AB$303,1,data_주일!AB$11:AB$303),"")</f>
        <v>212</v>
      </c>
      <c r="N14" s="68">
        <f>IF(SUMIF(data_주일!AC$11:AC$303,1,data_주일!AC$11:AC$303)&gt;0,SUMIF(data_주일!AC$11:AC$303,1,data_주일!AC$11:AC$303),"")</f>
        <v>210</v>
      </c>
      <c r="O14" s="68">
        <f>IF(SUMIF(data_주일!AD$11:AD$303,1,data_주일!AD$11:AD$303)&gt;0,SUMIF(data_주일!AD$11:AD$303,1,data_주일!AD$11:AD$303),"")</f>
        <v>206</v>
      </c>
      <c r="P14" s="68">
        <f>IF(SUMIF(data_주일!AE$11:AE$303,1,data_주일!AE$11:AE$303)&gt;0,SUMIF(data_주일!AE$11:AE$303,1,data_주일!AE$11:AE$303),"")</f>
        <v>215</v>
      </c>
      <c r="Q14" s="68">
        <f>IF(SUMIF(data_주일!AF$11:AF$303,1,data_주일!AF$11:AF$303)&gt;0,SUMIF(data_주일!AF$11:AF$303,1,data_주일!AF$11:AF$303),"")</f>
        <v>206</v>
      </c>
      <c r="R14" s="68">
        <f>IF(SUMIF(data_주일!AF$11:AF$303,1,data_주일!AF$11:AF$303)&gt;0,SUMIF(data_주일!AF$11:AF$303,1,data_주일!AF$11:AF$303),"")</f>
        <v>206</v>
      </c>
      <c r="S14" s="68">
        <f>IF(SUMIF(data_주일!AG$11:AG$303,1,data_주일!AG$11:AG$303)&gt;0,SUMIF(data_주일!AG$11:AG$303,1,data_주일!AG$11:AG$303),"")</f>
        <v>202</v>
      </c>
      <c r="T14" s="80">
        <f>AVERAGE(M14:Q14)</f>
        <v>209.8</v>
      </c>
    </row>
    <row r="15" spans="3:20" ht="16.149999999999999" customHeight="1" x14ac:dyDescent="0.3">
      <c r="C15" s="69"/>
      <c r="D15" s="95" t="s">
        <v>390</v>
      </c>
      <c r="E15" s="95"/>
      <c r="F15" s="70" t="s">
        <v>389</v>
      </c>
      <c r="G15" s="71">
        <f t="shared" ref="G15:J15" si="0">IFERROR(G14/$F$14,"")</f>
        <v>0.68402777777777779</v>
      </c>
      <c r="H15" s="71">
        <f t="shared" si="0"/>
        <v>0.67013888888888884</v>
      </c>
      <c r="I15" s="71">
        <f t="shared" si="0"/>
        <v>0.75</v>
      </c>
      <c r="J15" s="71">
        <f t="shared" si="0"/>
        <v>0.73611111111111116</v>
      </c>
      <c r="K15" s="71">
        <f>IFERROR(K14/$F$14,"")</f>
        <v>0.69791666666666663</v>
      </c>
      <c r="L15" s="71">
        <f t="shared" ref="L15:S15" si="1">IFERROR(L14/$F$14,"")</f>
        <v>0.6875</v>
      </c>
      <c r="M15" s="71">
        <f t="shared" si="1"/>
        <v>0.73611111111111116</v>
      </c>
      <c r="N15" s="71">
        <f t="shared" si="1"/>
        <v>0.72916666666666663</v>
      </c>
      <c r="O15" s="71">
        <f t="shared" si="1"/>
        <v>0.71527777777777779</v>
      </c>
      <c r="P15" s="71">
        <f t="shared" si="1"/>
        <v>0.74652777777777779</v>
      </c>
      <c r="Q15" s="71">
        <f t="shared" si="1"/>
        <v>0.71527777777777779</v>
      </c>
      <c r="R15" s="71">
        <f t="shared" si="1"/>
        <v>0.71527777777777779</v>
      </c>
      <c r="S15" s="71">
        <f t="shared" si="1"/>
        <v>0.70138888888888884</v>
      </c>
      <c r="T15" s="81">
        <f>AVERAGE(M15:Q15)</f>
        <v>0.72847222222222219</v>
      </c>
    </row>
    <row r="16" spans="3:20" ht="16.149999999999999" customHeight="1" x14ac:dyDescent="0.3">
      <c r="C16" s="72"/>
      <c r="D16" s="88">
        <v>11</v>
      </c>
      <c r="E16" s="89"/>
      <c r="F16" s="73">
        <v>39</v>
      </c>
      <c r="G16" s="74">
        <f>IF(SUMIF(data_주일!$B$11:$B$303,$D16,data_주일!V$11:V$303)&gt;0,SUMIF(data_주일!$B$11:$B$303,$D16,data_주일!V$11:V$303),"")</f>
        <v>28</v>
      </c>
      <c r="H16" s="74">
        <f>IF(SUMIF(data_주일!$B$11:$B$303,$D16,data_주일!W$11:W$303)&gt;0,SUMIF(data_주일!$B$11:$B$303,$D16,data_주일!W$11:W$303),"")</f>
        <v>16</v>
      </c>
      <c r="I16" s="74">
        <f>IF(SUMIF(data_주일!$B$11:$B$303,$D16,data_주일!X$11:X$303)&gt;0,SUMIF(data_주일!$B$11:$B$303,$D16,data_주일!X$11:X$303),"")</f>
        <v>29</v>
      </c>
      <c r="J16" s="74">
        <f>IF(SUMIF(data_주일!$B$11:$B$303,$D16,data_주일!Y$11:Y$303)&gt;0,SUMIF(data_주일!$B$11:$B$303,$D16,data_주일!Y$11:Y$303),"")</f>
        <v>26</v>
      </c>
      <c r="K16" s="74">
        <f>IF(SUMIF(data_주일!$B$11:$B$303,$D16,data_주일!Z$11:Z$303)&gt;0,SUMIF(data_주일!$B$11:$B$303,$D16,data_주일!Z$11:Z$303),"")</f>
        <v>24</v>
      </c>
      <c r="L16" s="74">
        <f>IF(SUMIF(data_주일!$B$11:$B$303,$D16,data_주일!AA$11:AA$303)&gt;0,SUMIF(data_주일!$B$11:$B$303,$D16,data_주일!AA$11:AA$303),"")</f>
        <v>28</v>
      </c>
      <c r="M16" s="74">
        <f>IF(SUMIF(data_주일!$B$11:$B$303,$D16,data_주일!AB$11:AB$303)&gt;0,SUMIF(data_주일!$B$11:$B$303,$D16,data_주일!AB$11:AB$303),"")</f>
        <v>22</v>
      </c>
      <c r="N16" s="74">
        <f>IF(SUMIF(data_주일!$B$11:$B$303,$D16,data_주일!AC$11:AC$303)&gt;0,SUMIF(data_주일!$B$11:$B$303,$D16,data_주일!AC$11:AC$303),"")</f>
        <v>27</v>
      </c>
      <c r="O16" s="74">
        <f>IF(SUMIF(data_주일!$B$11:$B$303,$D16,data_주일!AD$11:AD$303)&gt;0,SUMIF(data_주일!$B$11:$B$303,$D16,data_주일!AD$11:AD$303),"")</f>
        <v>25</v>
      </c>
      <c r="P16" s="74">
        <f ca="1">IF(SUMIF(data_주일!$B:$B,$D16,data_주일!AE$1:AE$303)&gt;0,SUMIF(data_주일!$B:$B,$D16,data_주일!AE$1:AE$303),"")</f>
        <v>28</v>
      </c>
      <c r="Q16" s="74">
        <f ca="1">IF(SUMIF(data_주일!$B:$B,$D16,data_주일!AF$1:AF$303)&gt;0,SUMIF(data_주일!$B:$B,$D16,data_주일!AF$1:AF$303),"")</f>
        <v>24</v>
      </c>
      <c r="R16" s="74">
        <f ca="1">IF(SUMIF(data_주일!$B:$B,$D16,data_주일!AF$1:AF$303)&gt;0,SUMIF(data_주일!$B:$B,$D16,data_주일!AF$1:AF$303),"")</f>
        <v>24</v>
      </c>
      <c r="S16" s="74">
        <f ca="1">IF(SUMIF(data_주일!$B:$B,$D16,data_주일!AG$1:AG$303)&gt;0,SUMIF(data_주일!$B:$B,$D16,data_주일!AG$1:AG$303),"")</f>
        <v>23</v>
      </c>
      <c r="T16" s="82">
        <f t="shared" ref="T16:T28" ca="1" si="2">AVERAGE(M16:Q16)</f>
        <v>25.2</v>
      </c>
    </row>
    <row r="17" spans="3:20" ht="16.149999999999999" customHeight="1" x14ac:dyDescent="0.3">
      <c r="C17" s="72"/>
      <c r="D17" s="88">
        <v>12</v>
      </c>
      <c r="E17" s="89"/>
      <c r="F17" s="73">
        <v>27</v>
      </c>
      <c r="G17" s="74">
        <f>IF(SUMIF(data_주일!$B$11:$B$303,$D17,data_주일!V$11:V$303)&gt;0,SUMIF(data_주일!$B$11:$B$303,$D17,data_주일!V$11:V$303),"")</f>
        <v>22</v>
      </c>
      <c r="H17" s="74">
        <f>IF(SUMIF(data_주일!$B$11:$B$303,$D17,data_주일!W$11:W$303)&gt;0,SUMIF(data_주일!$B$11:$B$303,$D17,data_주일!W$11:W$303),"")</f>
        <v>24</v>
      </c>
      <c r="I17" s="74">
        <f>IF(SUMIF(data_주일!$B$11:$B$303,$D17,data_주일!X$11:X$303)&gt;0,SUMIF(data_주일!$B$11:$B$303,$D17,data_주일!X$11:X$303),"")</f>
        <v>23</v>
      </c>
      <c r="J17" s="74">
        <f>IF(SUMIF(data_주일!$B$11:$B$303,$D17,data_주일!Y$11:Y$303)&gt;0,SUMIF(data_주일!$B$11:$B$303,$D17,data_주일!Y$11:Y$303),"")</f>
        <v>26</v>
      </c>
      <c r="K17" s="74">
        <f>IF(SUMIF(data_주일!$B$11:$B$303,$D17,data_주일!Z$11:Z$303)&gt;0,SUMIF(data_주일!$B$11:$B$303,$D17,data_주일!Z$11:Z$303),"")</f>
        <v>27</v>
      </c>
      <c r="L17" s="74">
        <f>IF(SUMIF(data_주일!$B$11:$B$303,$D17,data_주일!AA$11:AA$303)&gt;0,SUMIF(data_주일!$B$11:$B$303,$D17,data_주일!AA$11:AA$303),"")</f>
        <v>24</v>
      </c>
      <c r="M17" s="74">
        <f>IF(SUMIF(data_주일!$B$11:$B$303,$D17,data_주일!AB$11:AB$303)&gt;0,SUMIF(data_주일!$B$11:$B$303,$D17,data_주일!AB$11:AB$303),"")</f>
        <v>26</v>
      </c>
      <c r="N17" s="74">
        <f>IF(SUMIF(data_주일!$B$11:$B$303,$D17,data_주일!AC$11:AC$303)&gt;0,SUMIF(data_주일!$B$11:$B$303,$D17,data_주일!AC$11:AC$303),"")</f>
        <v>26</v>
      </c>
      <c r="O17" s="74">
        <f>IF(SUMIF(data_주일!$B$11:$B$303,$D17,data_주일!AD$11:AD$303)&gt;0,SUMIF(data_주일!$B$11:$B$303,$D17,data_주일!AD$11:AD$303),"")</f>
        <v>23</v>
      </c>
      <c r="P17" s="74">
        <f ca="1">IF(SUMIF(data_주일!$B:$B,$D17,data_주일!AE$1:AE$303)&gt;0,SUMIF(data_주일!$B:$B,$D17,data_주일!AE$1:AE$303),"")</f>
        <v>26</v>
      </c>
      <c r="Q17" s="74">
        <f ca="1">IF(SUMIF(data_주일!$B:$B,$D17,data_주일!AF$1:AF$303)&gt;0,SUMIF(data_주일!$B:$B,$D17,data_주일!AF$1:AF$303),"")</f>
        <v>28</v>
      </c>
      <c r="R17" s="74">
        <f ca="1">IF(SUMIF(data_주일!$B:$B,$D17,data_주일!AF$1:AF$303)&gt;0,SUMIF(data_주일!$B:$B,$D17,data_주일!AF$1:AF$303),"")</f>
        <v>28</v>
      </c>
      <c r="S17" s="74">
        <f ca="1">IF(SUMIF(data_주일!$B:$B,$D17,data_주일!AG$1:AG$303)&gt;0,SUMIF(data_주일!$B:$B,$D17,data_주일!AG$1:AG$303),"")</f>
        <v>25</v>
      </c>
      <c r="T17" s="82">
        <f t="shared" ca="1" si="2"/>
        <v>25.8</v>
      </c>
    </row>
    <row r="18" spans="3:20" ht="16.149999999999999" customHeight="1" x14ac:dyDescent="0.3">
      <c r="C18" s="72"/>
      <c r="D18" s="88">
        <v>21</v>
      </c>
      <c r="E18" s="89"/>
      <c r="F18" s="73">
        <v>30</v>
      </c>
      <c r="G18" s="74">
        <f>IF(SUMIF(data_주일!$B$11:$B$303,$D18,data_주일!V$11:V$303)&gt;0,SUMIF(data_주일!$B$11:$B$303,$D18,data_주일!V$11:V$303),"")</f>
        <v>23</v>
      </c>
      <c r="H18" s="74">
        <f>IF(SUMIF(data_주일!$B$11:$B$303,$D18,data_주일!W$11:W$303)&gt;0,SUMIF(data_주일!$B$11:$B$303,$D18,data_주일!W$11:W$303),"")</f>
        <v>23</v>
      </c>
      <c r="I18" s="74">
        <f>IF(SUMIF(data_주일!$B$11:$B$303,$D18,data_주일!X$11:X$303)&gt;0,SUMIF(data_주일!$B$11:$B$303,$D18,data_주일!X$11:X$303),"")</f>
        <v>26</v>
      </c>
      <c r="J18" s="74">
        <f>IF(SUMIF(data_주일!$B$11:$B$303,$D18,data_주일!Y$11:Y$303)&gt;0,SUMIF(data_주일!$B$11:$B$303,$D18,data_주일!Y$11:Y$303),"")</f>
        <v>22</v>
      </c>
      <c r="K18" s="74">
        <f>IF(SUMIF(data_주일!$B$11:$B$303,$D18,data_주일!Z$11:Z$303)&gt;0,SUMIF(data_주일!$B$11:$B$303,$D18,data_주일!Z$11:Z$303),"")</f>
        <v>17</v>
      </c>
      <c r="L18" s="74">
        <f>IF(SUMIF(data_주일!$B$11:$B$303,$D18,data_주일!AA$11:AA$303)&gt;0,SUMIF(data_주일!$B$11:$B$303,$D18,data_주일!AA$11:AA$303),"")</f>
        <v>20</v>
      </c>
      <c r="M18" s="74">
        <f>IF(SUMIF(data_주일!$B$11:$B$303,$D18,data_주일!AB$11:AB$303)&gt;0,SUMIF(data_주일!$B$11:$B$303,$D18,data_주일!AB$11:AB$303),"")</f>
        <v>23</v>
      </c>
      <c r="N18" s="74">
        <f>IF(SUMIF(data_주일!$B$11:$B$303,$D18,data_주일!AC$11:AC$303)&gt;0,SUMIF(data_주일!$B$11:$B$303,$D18,data_주일!AC$11:AC$303),"")</f>
        <v>19</v>
      </c>
      <c r="O18" s="74">
        <f>IF(SUMIF(data_주일!$B$11:$B$303,$D18,data_주일!AD$11:AD$303)&gt;0,SUMIF(data_주일!$B$11:$B$303,$D18,data_주일!AD$11:AD$303),"")</f>
        <v>22</v>
      </c>
      <c r="P18" s="74">
        <f ca="1">IF(SUMIF(data_주일!$B:$B,$D18,data_주일!AE$1:AE$303)&gt;0,SUMIF(data_주일!$B:$B,$D18,data_주일!AE$1:AE$303),"")</f>
        <v>22</v>
      </c>
      <c r="Q18" s="74">
        <f ca="1">IF(SUMIF(data_주일!$B:$B,$D18,data_주일!AF$1:AF$303)&gt;0,SUMIF(data_주일!$B:$B,$D18,data_주일!AF$1:AF$303),"")</f>
        <v>18</v>
      </c>
      <c r="R18" s="74">
        <f ca="1">IF(SUMIF(data_주일!$B:$B,$D18,data_주일!AF$1:AF$303)&gt;0,SUMIF(data_주일!$B:$B,$D18,data_주일!AF$1:AF$303),"")</f>
        <v>18</v>
      </c>
      <c r="S18" s="74">
        <f ca="1">IF(SUMIF(data_주일!$B:$B,$D18,data_주일!AG$1:AG$303)&gt;0,SUMIF(data_주일!$B:$B,$D18,data_주일!AG$1:AG$303),"")</f>
        <v>20</v>
      </c>
      <c r="T18" s="82">
        <f t="shared" ca="1" si="2"/>
        <v>20.8</v>
      </c>
    </row>
    <row r="19" spans="3:20" ht="16.149999999999999" customHeight="1" x14ac:dyDescent="0.3">
      <c r="C19" s="72"/>
      <c r="D19" s="88">
        <v>22</v>
      </c>
      <c r="E19" s="89"/>
      <c r="F19" s="73">
        <v>23</v>
      </c>
      <c r="G19" s="74">
        <f>IF(SUMIF(data_주일!$B$11:$B$303,$D19,data_주일!V$11:V$303)&gt;0,SUMIF(data_주일!$B$11:$B$303,$D19,data_주일!V$11:V$303),"")</f>
        <v>15</v>
      </c>
      <c r="H19" s="74">
        <f>IF(SUMIF(data_주일!$B$11:$B$303,$D19,data_주일!W$11:W$303)&gt;0,SUMIF(data_주일!$B$11:$B$303,$D19,data_주일!W$11:W$303),"")</f>
        <v>19</v>
      </c>
      <c r="I19" s="74">
        <f>IF(SUMIF(data_주일!$B$11:$B$303,$D19,data_주일!X$11:X$303)&gt;0,SUMIF(data_주일!$B$11:$B$303,$D19,data_주일!X$11:X$303),"")</f>
        <v>19</v>
      </c>
      <c r="J19" s="74">
        <f>IF(SUMIF(data_주일!$B$11:$B$303,$D19,data_주일!Y$11:Y$303)&gt;0,SUMIF(data_주일!$B$11:$B$303,$D19,data_주일!Y$11:Y$303),"")</f>
        <v>14</v>
      </c>
      <c r="K19" s="74">
        <f>IF(SUMIF(data_주일!$B$11:$B$303,$D19,data_주일!Z$11:Z$303)&gt;0,SUMIF(data_주일!$B$11:$B$303,$D19,data_주일!Z$11:Z$303),"")</f>
        <v>18</v>
      </c>
      <c r="L19" s="74">
        <f>IF(SUMIF(data_주일!$B$11:$B$303,$D19,data_주일!AA$11:AA$303)&gt;0,SUMIF(data_주일!$B$11:$B$303,$D19,data_주일!AA$11:AA$303),"")</f>
        <v>15</v>
      </c>
      <c r="M19" s="74">
        <f>IF(SUMIF(data_주일!$B$11:$B$303,$D19,data_주일!AB$11:AB$303)&gt;0,SUMIF(data_주일!$B$11:$B$303,$D19,data_주일!AB$11:AB$303),"")</f>
        <v>17</v>
      </c>
      <c r="N19" s="74">
        <f>IF(SUMIF(data_주일!$B$11:$B$303,$D19,data_주일!AC$11:AC$303)&gt;0,SUMIF(data_주일!$B$11:$B$303,$D19,data_주일!AC$11:AC$303),"")</f>
        <v>17</v>
      </c>
      <c r="O19" s="74">
        <f>IF(SUMIF(data_주일!$B$11:$B$303,$D19,data_주일!AD$11:AD$303)&gt;0,SUMIF(data_주일!$B$11:$B$303,$D19,data_주일!AD$11:AD$303),"")</f>
        <v>19</v>
      </c>
      <c r="P19" s="74">
        <f ca="1">IF(SUMIF(data_주일!$B:$B,$D19,data_주일!AE$1:AE$303)&gt;0,SUMIF(data_주일!$B:$B,$D19,data_주일!AE$1:AE$303),"")</f>
        <v>17</v>
      </c>
      <c r="Q19" s="74">
        <f ca="1">IF(SUMIF(data_주일!$B:$B,$D19,data_주일!AF$1:AF$303)&gt;0,SUMIF(data_주일!$B:$B,$D19,data_주일!AF$1:AF$303),"")</f>
        <v>16</v>
      </c>
      <c r="R19" s="74">
        <f ca="1">IF(SUMIF(data_주일!$B:$B,$D19,data_주일!AF$1:AF$303)&gt;0,SUMIF(data_주일!$B:$B,$D19,data_주일!AF$1:AF$303),"")</f>
        <v>16</v>
      </c>
      <c r="S19" s="74">
        <f ca="1">IF(SUMIF(data_주일!$B:$B,$D19,data_주일!AG$1:AG$303)&gt;0,SUMIF(data_주일!$B:$B,$D19,data_주일!AG$1:AG$303),"")</f>
        <v>16</v>
      </c>
      <c r="T19" s="82">
        <f t="shared" ca="1" si="2"/>
        <v>17.2</v>
      </c>
    </row>
    <row r="20" spans="3:20" ht="16.149999999999999" customHeight="1" x14ac:dyDescent="0.3">
      <c r="C20" s="72"/>
      <c r="D20" s="88">
        <v>31</v>
      </c>
      <c r="E20" s="89"/>
      <c r="F20" s="73">
        <v>35</v>
      </c>
      <c r="G20" s="74">
        <f>IF(SUMIF(data_주일!$B$11:$B$303,$D20,data_주일!V$11:V$303)&gt;0,SUMIF(data_주일!$B$11:$B$303,$D20,data_주일!V$11:V$303),"")</f>
        <v>21</v>
      </c>
      <c r="H20" s="74">
        <f>IF(SUMIF(data_주일!$B$11:$B$303,$D20,data_주일!W$11:W$303)&gt;0,SUMIF(data_주일!$B$11:$B$303,$D20,data_주일!W$11:W$303),"")</f>
        <v>25</v>
      </c>
      <c r="I20" s="74">
        <f>IF(SUMIF(data_주일!$B$11:$B$303,$D20,data_주일!X$11:X$303)&gt;0,SUMIF(data_주일!$B$11:$B$303,$D20,data_주일!X$11:X$303),"")</f>
        <v>25</v>
      </c>
      <c r="J20" s="74">
        <f>IF(SUMIF(data_주일!$B$11:$B$303,$D20,data_주일!Y$11:Y$303)&gt;0,SUMIF(data_주일!$B$11:$B$303,$D20,data_주일!Y$11:Y$303),"")</f>
        <v>26</v>
      </c>
      <c r="K20" s="74">
        <f>IF(SUMIF(data_주일!$B$11:$B$303,$D20,data_주일!Z$11:Z$303)&gt;0,SUMIF(data_주일!$B$11:$B$303,$D20,data_주일!Z$11:Z$303),"")</f>
        <v>20</v>
      </c>
      <c r="L20" s="74">
        <f>IF(SUMIF(data_주일!$B$11:$B$303,$D20,data_주일!AA$11:AA$303)&gt;0,SUMIF(data_주일!$B$11:$B$303,$D20,data_주일!AA$11:AA$303),"")</f>
        <v>20</v>
      </c>
      <c r="M20" s="74">
        <f>IF(SUMIF(data_주일!$B$11:$B$303,$D20,data_주일!AB$11:AB$303)&gt;0,SUMIF(data_주일!$B$11:$B$303,$D20,data_주일!AB$11:AB$303),"")</f>
        <v>22</v>
      </c>
      <c r="N20" s="74">
        <f>IF(SUMIF(data_주일!$B$11:$B$303,$D20,data_주일!AC$11:AC$303)&gt;0,SUMIF(data_주일!$B$11:$B$303,$D20,data_주일!AC$11:AC$303),"")</f>
        <v>22</v>
      </c>
      <c r="O20" s="74">
        <f>IF(SUMIF(data_주일!$B$11:$B$303,$D20,data_주일!AD$11:AD$303)&gt;0,SUMIF(data_주일!$B$11:$B$303,$D20,data_주일!AD$11:AD$303),"")</f>
        <v>27</v>
      </c>
      <c r="P20" s="74">
        <f ca="1">IF(SUMIF(data_주일!$B:$B,$D20,data_주일!AE$1:AE$303)&gt;0,SUMIF(data_주일!$B:$B,$D20,data_주일!AE$1:AE$303),"")</f>
        <v>29</v>
      </c>
      <c r="Q20" s="74">
        <f ca="1">IF(SUMIF(data_주일!$B:$B,$D20,data_주일!AF$1:AF$303)&gt;0,SUMIF(data_주일!$B:$B,$D20,data_주일!AF$1:AF$303),"")</f>
        <v>25</v>
      </c>
      <c r="R20" s="74">
        <f ca="1">IF(SUMIF(data_주일!$B:$B,$D20,data_주일!AF$1:AF$303)&gt;0,SUMIF(data_주일!$B:$B,$D20,data_주일!AF$1:AF$303),"")</f>
        <v>25</v>
      </c>
      <c r="S20" s="74">
        <f ca="1">IF(SUMIF(data_주일!$B:$B,$D20,data_주일!AG$1:AG$303)&gt;0,SUMIF(data_주일!$B:$B,$D20,data_주일!AG$1:AG$303),"")</f>
        <v>26</v>
      </c>
      <c r="T20" s="82">
        <f t="shared" ca="1" si="2"/>
        <v>25</v>
      </c>
    </row>
    <row r="21" spans="3:20" ht="16.149999999999999" customHeight="1" x14ac:dyDescent="0.3">
      <c r="C21" s="72"/>
      <c r="D21" s="88">
        <v>32</v>
      </c>
      <c r="E21" s="89"/>
      <c r="F21" s="73">
        <v>28</v>
      </c>
      <c r="G21" s="74">
        <f>IF(SUMIF(data_주일!$B$11:$B$303,$D21,data_주일!V$11:V$303)&gt;0,SUMIF(data_주일!$B$11:$B$303,$D21,data_주일!V$11:V$303),"")</f>
        <v>23</v>
      </c>
      <c r="H21" s="74">
        <f>IF(SUMIF(data_주일!$B$11:$B$303,$D21,data_주일!W$11:W$303)&gt;0,SUMIF(data_주일!$B$11:$B$303,$D21,data_주일!W$11:W$303),"")</f>
        <v>24</v>
      </c>
      <c r="I21" s="74">
        <f>IF(SUMIF(data_주일!$B$11:$B$303,$D21,data_주일!X$11:X$303)&gt;0,SUMIF(data_주일!$B$11:$B$303,$D21,data_주일!X$11:X$303),"")</f>
        <v>24</v>
      </c>
      <c r="J21" s="74">
        <f>IF(SUMIF(data_주일!$B$11:$B$303,$D21,data_주일!Y$11:Y$303)&gt;0,SUMIF(data_주일!$B$11:$B$303,$D21,data_주일!Y$11:Y$303),"")</f>
        <v>23</v>
      </c>
      <c r="K21" s="74">
        <f>IF(SUMIF(data_주일!$B$11:$B$303,$D21,data_주일!Z$11:Z$303)&gt;0,SUMIF(data_주일!$B$11:$B$303,$D21,data_주일!Z$11:Z$303),"")</f>
        <v>21</v>
      </c>
      <c r="L21" s="74">
        <f>IF(SUMIF(data_주일!$B$11:$B$303,$D21,data_주일!AA$11:AA$303)&gt;0,SUMIF(data_주일!$B$11:$B$303,$D21,data_주일!AA$11:AA$303),"")</f>
        <v>22</v>
      </c>
      <c r="M21" s="74">
        <f>IF(SUMIF(data_주일!$B$11:$B$303,$D21,data_주일!AB$11:AB$303)&gt;0,SUMIF(data_주일!$B$11:$B$303,$D21,data_주일!AB$11:AB$303),"")</f>
        <v>24</v>
      </c>
      <c r="N21" s="74">
        <f>IF(SUMIF(data_주일!$B$11:$B$303,$D21,data_주일!AC$11:AC$303)&gt;0,SUMIF(data_주일!$B$11:$B$303,$D21,data_주일!AC$11:AC$303),"")</f>
        <v>25</v>
      </c>
      <c r="O21" s="74">
        <f>IF(SUMIF(data_주일!$B$11:$B$303,$D21,data_주일!AD$11:AD$303)&gt;0,SUMIF(data_주일!$B$11:$B$303,$D21,data_주일!AD$11:AD$303),"")</f>
        <v>21</v>
      </c>
      <c r="P21" s="74">
        <f ca="1">IF(SUMIF(data_주일!$B:$B,$D21,data_주일!AE$1:AE$303)&gt;0,SUMIF(data_주일!$B:$B,$D21,data_주일!AE$1:AE$303),"")</f>
        <v>25</v>
      </c>
      <c r="Q21" s="74">
        <f ca="1">IF(SUMIF(data_주일!$B:$B,$D21,data_주일!AF$1:AF$303)&gt;0,SUMIF(data_주일!$B:$B,$D21,data_주일!AF$1:AF$303),"")</f>
        <v>24</v>
      </c>
      <c r="R21" s="74">
        <f ca="1">IF(SUMIF(data_주일!$B:$B,$D21,data_주일!AF$1:AF$303)&gt;0,SUMIF(data_주일!$B:$B,$D21,data_주일!AF$1:AF$303),"")</f>
        <v>24</v>
      </c>
      <c r="S21" s="74">
        <f ca="1">IF(SUMIF(data_주일!$B:$B,$D21,data_주일!AG$1:AG$303)&gt;0,SUMIF(data_주일!$B:$B,$D21,data_주일!AG$1:AG$303),"")</f>
        <v>24</v>
      </c>
      <c r="T21" s="82">
        <f t="shared" ca="1" si="2"/>
        <v>23.8</v>
      </c>
    </row>
    <row r="22" spans="3:20" ht="16.149999999999999" customHeight="1" x14ac:dyDescent="0.3">
      <c r="C22" s="72"/>
      <c r="D22" s="88">
        <v>33</v>
      </c>
      <c r="E22" s="89"/>
      <c r="F22" s="73">
        <v>12</v>
      </c>
      <c r="G22" s="74">
        <f>IF(SUMIF(data_주일!$B$11:$B$303,$D22,data_주일!V$11:V$303)&gt;0,SUMIF(data_주일!$B$11:$B$303,$D22,data_주일!V$11:V$303),"")</f>
        <v>1</v>
      </c>
      <c r="H22" s="74">
        <f>IF(SUMIF(data_주일!$B$11:$B$303,$D22,data_주일!W$11:W$303)&gt;0,SUMIF(data_주일!$B$11:$B$303,$D22,data_주일!W$11:W$303),"")</f>
        <v>5</v>
      </c>
      <c r="I22" s="74">
        <f>IF(SUMIF(data_주일!$B$11:$B$303,$D22,data_주일!X$11:X$303)&gt;0,SUMIF(data_주일!$B$11:$B$303,$D22,data_주일!X$11:X$303),"")</f>
        <v>6</v>
      </c>
      <c r="J22" s="74">
        <f>IF(SUMIF(data_주일!$B$11:$B$303,$D22,data_주일!Y$11:Y$303)&gt;0,SUMIF(data_주일!$B$11:$B$303,$D22,data_주일!Y$11:Y$303),"")</f>
        <v>6</v>
      </c>
      <c r="K22" s="74">
        <f>IF(SUMIF(data_주일!$B$11:$B$303,$D22,data_주일!Z$11:Z$303)&gt;0,SUMIF(data_주일!$B$11:$B$303,$D22,data_주일!Z$11:Z$303),"")</f>
        <v>2</v>
      </c>
      <c r="L22" s="74" t="str">
        <f>IF(SUMIF(data_주일!$B$11:$B$303,$D22,data_주일!AA$11:AA$303)&gt;0,SUMIF(data_주일!$B$11:$B$303,$D22,data_주일!AA$11:AA$303),"")</f>
        <v/>
      </c>
      <c r="M22" s="74">
        <f>IF(SUMIF(data_주일!$B$11:$B$303,$D22,data_주일!AB$11:AB$303)&gt;0,SUMIF(data_주일!$B$11:$B$303,$D22,data_주일!AB$11:AB$303),"")</f>
        <v>5</v>
      </c>
      <c r="N22" s="74">
        <f>IF(SUMIF(data_주일!$B$11:$B$303,$D22,data_주일!AC$11:AC$303)&gt;0,SUMIF(data_주일!$B$11:$B$303,$D22,data_주일!AC$11:AC$303),"")</f>
        <v>4</v>
      </c>
      <c r="O22" s="74">
        <f>IF(SUMIF(data_주일!$B$11:$B$303,$D22,data_주일!AD$11:AD$303)&gt;0,SUMIF(data_주일!$B$11:$B$303,$D22,data_주일!AD$11:AD$303),"")</f>
        <v>6</v>
      </c>
      <c r="P22" s="74">
        <f ca="1">IF(SUMIF(data_주일!$B:$B,$D22,data_주일!AE$1:AE$303)&gt;0,SUMIF(data_주일!$B:$B,$D22,data_주일!AE$1:AE$303),"")</f>
        <v>5</v>
      </c>
      <c r="Q22" s="74">
        <f ca="1">IF(SUMIF(data_주일!$B:$B,$D22,data_주일!AF$1:AF$303)&gt;0,SUMIF(data_주일!$B:$B,$D22,data_주일!AF$1:AF$303),"")</f>
        <v>5</v>
      </c>
      <c r="R22" s="74">
        <f ca="1">IF(SUMIF(data_주일!$B:$B,$D22,data_주일!AF$1:AF$303)&gt;0,SUMIF(data_주일!$B:$B,$D22,data_주일!AF$1:AF$303),"")</f>
        <v>5</v>
      </c>
      <c r="S22" s="74">
        <f ca="1">IF(SUMIF(data_주일!$B:$B,$D22,data_주일!AG$1:AG$303)&gt;0,SUMIF(data_주일!$B:$B,$D22,data_주일!AG$1:AG$303),"")</f>
        <v>4</v>
      </c>
      <c r="T22" s="82">
        <f t="shared" ca="1" si="2"/>
        <v>5</v>
      </c>
    </row>
    <row r="23" spans="3:20" ht="16.149999999999999" customHeight="1" x14ac:dyDescent="0.3">
      <c r="C23" s="72"/>
      <c r="D23" s="88">
        <v>41</v>
      </c>
      <c r="E23" s="89"/>
      <c r="F23" s="73">
        <v>30</v>
      </c>
      <c r="G23" s="74">
        <f>IF(SUMIF(data_주일!$B$11:$B$303,$D23,data_주일!V$11:V$303)&gt;0,SUMIF(data_주일!$B$11:$B$303,$D23,data_주일!V$11:V$303),"")</f>
        <v>23</v>
      </c>
      <c r="H23" s="74">
        <f>IF(SUMIF(data_주일!$B$11:$B$303,$D23,data_주일!W$11:W$303)&gt;0,SUMIF(data_주일!$B$11:$B$303,$D23,data_주일!W$11:W$303),"")</f>
        <v>21</v>
      </c>
      <c r="I23" s="74">
        <f>IF(SUMIF(data_주일!$B$11:$B$303,$D23,data_주일!X$11:X$303)&gt;0,SUMIF(data_주일!$B$11:$B$303,$D23,data_주일!X$11:X$303),"")</f>
        <v>20</v>
      </c>
      <c r="J23" s="74">
        <f>IF(SUMIF(data_주일!$B$11:$B$303,$D23,data_주일!Y$11:Y$303)&gt;0,SUMIF(data_주일!$B$11:$B$303,$D23,data_주일!Y$11:Y$303),"")</f>
        <v>24</v>
      </c>
      <c r="K23" s="74">
        <f>IF(SUMIF(data_주일!$B$11:$B$303,$D23,data_주일!Z$11:Z$303)&gt;0,SUMIF(data_주일!$B$11:$B$303,$D23,data_주일!Z$11:Z$303),"")</f>
        <v>24</v>
      </c>
      <c r="L23" s="74">
        <f>IF(SUMIF(data_주일!$B$11:$B$303,$D23,data_주일!AA$11:AA$303)&gt;0,SUMIF(data_주일!$B$11:$B$303,$D23,data_주일!AA$11:AA$303),"")</f>
        <v>23</v>
      </c>
      <c r="M23" s="74">
        <f>IF(SUMIF(data_주일!$B$11:$B$303,$D23,data_주일!AB$11:AB$303)&gt;0,SUMIF(data_주일!$B$11:$B$303,$D23,data_주일!AB$11:AB$303),"")</f>
        <v>22</v>
      </c>
      <c r="N23" s="74">
        <f>IF(SUMIF(data_주일!$B$11:$B$303,$D23,data_주일!AC$11:AC$303)&gt;0,SUMIF(data_주일!$B$11:$B$303,$D23,data_주일!AC$11:AC$303),"")</f>
        <v>22</v>
      </c>
      <c r="O23" s="74">
        <f>IF(SUMIF(data_주일!$B$11:$B$303,$D23,data_주일!AD$11:AD$303)&gt;0,SUMIF(data_주일!$B$11:$B$303,$D23,data_주일!AD$11:AD$303),"")</f>
        <v>15</v>
      </c>
      <c r="P23" s="74">
        <f ca="1">IF(SUMIF(data_주일!$B:$B,$D23,data_주일!AE$1:AE$303)&gt;0,SUMIF(data_주일!$B:$B,$D23,data_주일!AE$1:AE$303),"")</f>
        <v>19</v>
      </c>
      <c r="Q23" s="74">
        <f ca="1">IF(SUMIF(data_주일!$B:$B,$D23,data_주일!AF$1:AF$303)&gt;0,SUMIF(data_주일!$B:$B,$D23,data_주일!AF$1:AF$303),"")</f>
        <v>24</v>
      </c>
      <c r="R23" s="74">
        <f ca="1">IF(SUMIF(data_주일!$B:$B,$D23,data_주일!AF$1:AF$303)&gt;0,SUMIF(data_주일!$B:$B,$D23,data_주일!AF$1:AF$303),"")</f>
        <v>24</v>
      </c>
      <c r="S23" s="74">
        <f ca="1">IF(SUMIF(data_주일!$B:$B,$D23,data_주일!AG$1:AG$303)&gt;0,SUMIF(data_주일!$B:$B,$D23,data_주일!AG$1:AG$303),"")</f>
        <v>24</v>
      </c>
      <c r="T23" s="82">
        <f t="shared" ca="1" si="2"/>
        <v>20.399999999999999</v>
      </c>
    </row>
    <row r="24" spans="3:20" ht="16.149999999999999" customHeight="1" x14ac:dyDescent="0.3">
      <c r="C24" s="72"/>
      <c r="D24" s="88">
        <v>42</v>
      </c>
      <c r="E24" s="89"/>
      <c r="F24" s="73">
        <v>29</v>
      </c>
      <c r="G24" s="74">
        <f>IF(SUMIF(data_주일!$B$11:$B$303,$D24,data_주일!V$11:V$303)&gt;0,SUMIF(data_주일!$B$11:$B$303,$D24,data_주일!V$11:V$303),"")</f>
        <v>18</v>
      </c>
      <c r="H24" s="74">
        <f>IF(SUMIF(data_주일!$B$11:$B$303,$D24,data_주일!W$11:W$303)&gt;0,SUMIF(data_주일!$B$11:$B$303,$D24,data_주일!W$11:W$303),"")</f>
        <v>13</v>
      </c>
      <c r="I24" s="74">
        <f>IF(SUMIF(data_주일!$B$11:$B$303,$D24,data_주일!X$11:X$303)&gt;0,SUMIF(data_주일!$B$11:$B$303,$D24,data_주일!X$11:X$303),"")</f>
        <v>22</v>
      </c>
      <c r="J24" s="74">
        <f>IF(SUMIF(data_주일!$B$11:$B$303,$D24,data_주일!Y$11:Y$303)&gt;0,SUMIF(data_주일!$B$11:$B$303,$D24,data_주일!Y$11:Y$303),"")</f>
        <v>19</v>
      </c>
      <c r="K24" s="74">
        <f>IF(SUMIF(data_주일!$B$11:$B$303,$D24,data_주일!Z$11:Z$303)&gt;0,SUMIF(data_주일!$B$11:$B$303,$D24,data_주일!Z$11:Z$303),"")</f>
        <v>22</v>
      </c>
      <c r="L24" s="74">
        <f>IF(SUMIF(data_주일!$B$11:$B$303,$D24,data_주일!AA$11:AA$303)&gt;0,SUMIF(data_주일!$B$11:$B$303,$D24,data_주일!AA$11:AA$303),"")</f>
        <v>24</v>
      </c>
      <c r="M24" s="74">
        <f>IF(SUMIF(data_주일!$B$11:$B$303,$D24,data_주일!AB$11:AB$303)&gt;0,SUMIF(data_주일!$B$11:$B$303,$D24,data_주일!AB$11:AB$303),"")</f>
        <v>23</v>
      </c>
      <c r="N24" s="74">
        <f>IF(SUMIF(data_주일!$B$11:$B$303,$D24,data_주일!AC$11:AC$303)&gt;0,SUMIF(data_주일!$B$11:$B$303,$D24,data_주일!AC$11:AC$303),"")</f>
        <v>23</v>
      </c>
      <c r="O24" s="74">
        <f>IF(SUMIF(data_주일!$B$11:$B$303,$D24,data_주일!AD$11:AD$303)&gt;0,SUMIF(data_주일!$B$11:$B$303,$D24,data_주일!AD$11:AD$303),"")</f>
        <v>23</v>
      </c>
      <c r="P24" s="74">
        <f ca="1">IF(SUMIF(data_주일!$B:$B,$D24,data_주일!AE$1:AE$303)&gt;0,SUMIF(data_주일!$B:$B,$D24,data_주일!AE$1:AE$303),"")</f>
        <v>24</v>
      </c>
      <c r="Q24" s="74">
        <f ca="1">IF(SUMIF(data_주일!$B:$B,$D24,data_주일!AF$1:AF$303)&gt;0,SUMIF(data_주일!$B:$B,$D24,data_주일!AF$1:AF$303),"")</f>
        <v>22</v>
      </c>
      <c r="R24" s="74">
        <f ca="1">IF(SUMIF(data_주일!$B:$B,$D24,data_주일!AF$1:AF$303)&gt;0,SUMIF(data_주일!$B:$B,$D24,data_주일!AF$1:AF$303),"")</f>
        <v>22</v>
      </c>
      <c r="S24" s="74">
        <f ca="1">IF(SUMIF(data_주일!$B:$B,$D24,data_주일!AG$1:AG$303)&gt;0,SUMIF(data_주일!$B:$B,$D24,data_주일!AG$1:AG$303),"")</f>
        <v>20</v>
      </c>
      <c r="T24" s="82">
        <f t="shared" ca="1" si="2"/>
        <v>23</v>
      </c>
    </row>
    <row r="25" spans="3:20" ht="16.149999999999999" customHeight="1" x14ac:dyDescent="0.3">
      <c r="C25" s="72"/>
      <c r="D25" s="88">
        <v>43</v>
      </c>
      <c r="E25" s="89"/>
      <c r="F25" s="73">
        <v>34</v>
      </c>
      <c r="G25" s="74">
        <f>IF(SUMIF(data_주일!$B$11:$B$303,$D25,data_주일!V$11:V$303)&gt;0,SUMIF(data_주일!$B$11:$B$303,$D25,data_주일!V$11:V$303),"")</f>
        <v>23</v>
      </c>
      <c r="H25" s="74">
        <f>IF(SUMIF(data_주일!$B$11:$B$303,$D25,data_주일!W$11:W$303)&gt;0,SUMIF(data_주일!$B$11:$B$303,$D25,data_주일!W$11:W$303),"")</f>
        <v>23</v>
      </c>
      <c r="I25" s="74">
        <f>IF(SUMIF(data_주일!$B$11:$B$303,$D25,data_주일!X$11:X$303)&gt;0,SUMIF(data_주일!$B$11:$B$303,$D25,data_주일!X$11:X$303),"")</f>
        <v>22</v>
      </c>
      <c r="J25" s="74">
        <f>IF(SUMIF(data_주일!$B$11:$B$303,$D25,data_주일!Y$11:Y$303)&gt;0,SUMIF(data_주일!$B$11:$B$303,$D25,data_주일!Y$11:Y$303),"")</f>
        <v>26</v>
      </c>
      <c r="K25" s="74">
        <f>IF(SUMIF(data_주일!$B$11:$B$303,$D25,data_주일!Z$11:Z$303)&gt;0,SUMIF(data_주일!$B$11:$B$303,$D25,data_주일!Z$11:Z$303),"")</f>
        <v>26</v>
      </c>
      <c r="L25" s="74">
        <f>IF(SUMIF(data_주일!$B$11:$B$303,$D25,data_주일!AA$11:AA$303)&gt;0,SUMIF(data_주일!$B$11:$B$303,$D25,data_주일!AA$11:AA$303),"")</f>
        <v>22</v>
      </c>
      <c r="M25" s="74">
        <f>IF(SUMIF(data_주일!$B$11:$B$303,$D25,data_주일!AB$11:AB$303)&gt;0,SUMIF(data_주일!$B$11:$B$303,$D25,data_주일!AB$11:AB$303),"")</f>
        <v>28</v>
      </c>
      <c r="N25" s="74">
        <f>IF(SUMIF(data_주일!$B$11:$B$303,$D25,data_주일!AC$11:AC$303)&gt;0,SUMIF(data_주일!$B$11:$B$303,$D25,data_주일!AC$11:AC$303),"")</f>
        <v>25</v>
      </c>
      <c r="O25" s="74">
        <f>IF(SUMIF(data_주일!$B$11:$B$303,$D25,data_주일!AD$11:AD$303)&gt;0,SUMIF(data_주일!$B$11:$B$303,$D25,data_주일!AD$11:AD$303),"")</f>
        <v>25</v>
      </c>
      <c r="P25" s="74">
        <f ca="1">IF(SUMIF(data_주일!$B:$B,$D25,data_주일!AE$1:AE$303)&gt;0,SUMIF(data_주일!$B:$B,$D25,data_주일!AE$1:AE$303),"")</f>
        <v>25</v>
      </c>
      <c r="Q25" s="74">
        <f ca="1">IF(SUMIF(data_주일!$B:$B,$D25,data_주일!AF$1:AF$303)&gt;0,SUMIF(data_주일!$B:$B,$D25,data_주일!AF$1:AF$303),"")</f>
        <v>25</v>
      </c>
      <c r="R25" s="74">
        <f ca="1">IF(SUMIF(data_주일!$B:$B,$D25,data_주일!AF$1:AF$303)&gt;0,SUMIF(data_주일!$B:$B,$D25,data_주일!AF$1:AF$303),"")</f>
        <v>25</v>
      </c>
      <c r="S25" s="74">
        <f ca="1">IF(SUMIF(data_주일!$B:$B,$D25,data_주일!AG$1:AG$303)&gt;0,SUMIF(data_주일!$B:$B,$D25,data_주일!AG$1:AG$303),"")</f>
        <v>23</v>
      </c>
      <c r="T25" s="82">
        <f t="shared" ca="1" si="2"/>
        <v>25.6</v>
      </c>
    </row>
    <row r="26" spans="3:20" ht="16.149999999999999" customHeight="1" x14ac:dyDescent="0.3">
      <c r="C26" s="96" t="s">
        <v>387</v>
      </c>
      <c r="D26" s="97"/>
      <c r="E26" s="98"/>
      <c r="F26" s="75" t="s">
        <v>388</v>
      </c>
      <c r="G26" s="76">
        <v>10</v>
      </c>
      <c r="H26" s="76">
        <v>12</v>
      </c>
      <c r="I26" s="76">
        <v>11</v>
      </c>
      <c r="J26" s="76">
        <v>8</v>
      </c>
      <c r="K26" s="76">
        <v>8</v>
      </c>
      <c r="L26" s="76">
        <v>10</v>
      </c>
      <c r="M26" s="76">
        <v>11</v>
      </c>
      <c r="N26" s="76">
        <v>8</v>
      </c>
      <c r="O26" s="76">
        <v>12</v>
      </c>
      <c r="P26" s="76">
        <v>14</v>
      </c>
      <c r="Q26" s="76">
        <v>10</v>
      </c>
      <c r="R26" s="76"/>
      <c r="S26" s="76"/>
      <c r="T26" s="82">
        <f t="shared" si="2"/>
        <v>11</v>
      </c>
    </row>
    <row r="27" spans="3:20" ht="16.149999999999999" customHeight="1" x14ac:dyDescent="0.3">
      <c r="C27" s="99"/>
      <c r="D27" s="100"/>
      <c r="E27" s="101"/>
      <c r="F27" s="75" t="s">
        <v>344</v>
      </c>
      <c r="G27" s="77">
        <v>19</v>
      </c>
      <c r="H27" s="77">
        <v>21</v>
      </c>
      <c r="I27" s="77">
        <v>16</v>
      </c>
      <c r="J27" s="77">
        <v>16</v>
      </c>
      <c r="K27" s="77">
        <v>17</v>
      </c>
      <c r="L27" s="77">
        <v>20</v>
      </c>
      <c r="M27" s="77">
        <v>18</v>
      </c>
      <c r="N27" s="77">
        <v>17</v>
      </c>
      <c r="O27" s="77">
        <v>17</v>
      </c>
      <c r="P27" s="77">
        <v>19</v>
      </c>
      <c r="Q27" s="77">
        <v>17</v>
      </c>
      <c r="R27" s="77"/>
      <c r="S27" s="77"/>
      <c r="T27" s="82">
        <f t="shared" si="2"/>
        <v>17.600000000000001</v>
      </c>
    </row>
    <row r="28" spans="3:20" ht="16.149999999999999" customHeight="1" x14ac:dyDescent="0.3">
      <c r="C28" s="102" t="s">
        <v>335</v>
      </c>
      <c r="D28" s="103"/>
      <c r="E28" s="103"/>
      <c r="F28" s="104"/>
      <c r="G28" s="58">
        <f t="shared" ref="G28:S28" si="3">IF(SUM(G14,G26,G27)&gt;0,SUM(G14,G26,G27),"")</f>
        <v>226</v>
      </c>
      <c r="H28" s="58">
        <f t="shared" si="3"/>
        <v>226</v>
      </c>
      <c r="I28" s="58">
        <f t="shared" si="3"/>
        <v>243</v>
      </c>
      <c r="J28" s="58">
        <f t="shared" si="3"/>
        <v>236</v>
      </c>
      <c r="K28" s="58">
        <f t="shared" si="3"/>
        <v>226</v>
      </c>
      <c r="L28" s="58">
        <f t="shared" si="3"/>
        <v>228</v>
      </c>
      <c r="M28" s="58">
        <f t="shared" si="3"/>
        <v>241</v>
      </c>
      <c r="N28" s="58">
        <f t="shared" si="3"/>
        <v>235</v>
      </c>
      <c r="O28" s="58">
        <f t="shared" si="3"/>
        <v>235</v>
      </c>
      <c r="P28" s="58">
        <f t="shared" si="3"/>
        <v>248</v>
      </c>
      <c r="Q28" s="58">
        <f t="shared" si="3"/>
        <v>233</v>
      </c>
      <c r="R28" s="58">
        <f t="shared" si="3"/>
        <v>206</v>
      </c>
      <c r="S28" s="58">
        <f t="shared" si="3"/>
        <v>202</v>
      </c>
      <c r="T28" s="83">
        <f t="shared" si="2"/>
        <v>238.4</v>
      </c>
    </row>
    <row r="29" spans="3:20" ht="22.15" customHeight="1" x14ac:dyDescent="0.3">
      <c r="C29" s="105" t="s">
        <v>358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</row>
    <row r="30" spans="3:20" ht="4.9000000000000004" customHeight="1" x14ac:dyDescent="0.3"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</row>
    <row r="31" spans="3:20" ht="7.9" customHeight="1" x14ac:dyDescent="0.3"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</row>
    <row r="32" spans="3:20" x14ac:dyDescent="0.3"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</row>
    <row r="33" spans="3:19" x14ac:dyDescent="0.3">
      <c r="C33" s="47"/>
    </row>
    <row r="34" spans="3:19" x14ac:dyDescent="0.3">
      <c r="C34" s="47"/>
    </row>
    <row r="35" spans="3:19" x14ac:dyDescent="0.3">
      <c r="C35" s="47"/>
    </row>
    <row r="36" spans="3:19" x14ac:dyDescent="0.3">
      <c r="C36" s="47"/>
    </row>
    <row r="37" spans="3:19" ht="16.5" customHeight="1" x14ac:dyDescent="0.3"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</row>
    <row r="38" spans="3:19" ht="16.5" customHeight="1" x14ac:dyDescent="0.3"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</row>
    <row r="39" spans="3:19" ht="16.5" customHeight="1" x14ac:dyDescent="0.3"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</row>
    <row r="40" spans="3:19" ht="16.5" customHeight="1" x14ac:dyDescent="0.3"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</row>
    <row r="41" spans="3:19" ht="16.5" customHeight="1" x14ac:dyDescent="0.3"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</row>
    <row r="42" spans="3:19" ht="12.95" customHeight="1" x14ac:dyDescent="0.3">
      <c r="C42" s="51" t="s">
        <v>340</v>
      </c>
      <c r="D42" s="108" t="s">
        <v>380</v>
      </c>
      <c r="E42" s="109"/>
      <c r="F42" s="54" t="s">
        <v>201</v>
      </c>
      <c r="G42" s="53">
        <v>45752</v>
      </c>
      <c r="H42" s="53">
        <v>45759</v>
      </c>
      <c r="I42" s="53">
        <v>45766</v>
      </c>
      <c r="J42" s="53">
        <v>45773</v>
      </c>
      <c r="K42" s="6">
        <f>K13</f>
        <v>45780</v>
      </c>
      <c r="L42" s="6">
        <f t="shared" ref="L42:S42" si="4">L13</f>
        <v>45787</v>
      </c>
      <c r="M42" s="6">
        <f t="shared" si="4"/>
        <v>45794</v>
      </c>
      <c r="N42" s="6">
        <f t="shared" si="4"/>
        <v>45801</v>
      </c>
      <c r="O42" s="6">
        <f t="shared" si="4"/>
        <v>45808</v>
      </c>
      <c r="P42" s="6">
        <f t="shared" si="4"/>
        <v>45815</v>
      </c>
      <c r="Q42" s="6">
        <f t="shared" si="4"/>
        <v>45822</v>
      </c>
      <c r="R42" s="6">
        <f t="shared" si="4"/>
        <v>45829</v>
      </c>
      <c r="S42" s="6">
        <f t="shared" si="4"/>
        <v>45835</v>
      </c>
    </row>
    <row r="43" spans="3:19" ht="12.95" customHeight="1" x14ac:dyDescent="0.3">
      <c r="C43" s="40" t="str">
        <f>IF(data_주일!C309="","",data_주일!C309)</f>
        <v>윤나영</v>
      </c>
      <c r="D43" s="86" t="str">
        <f>IF(data_주일!D309="","",data_주일!D309)</f>
        <v>최경숙</v>
      </c>
      <c r="E43" s="87"/>
      <c r="F43" s="40">
        <f>IF(data_주일!B309="","",data_주일!B309)</f>
        <v>11</v>
      </c>
      <c r="G43" s="46" t="str">
        <f>IF(data_주일!V309=1,$C43,"")</f>
        <v/>
      </c>
      <c r="H43" s="46" t="str">
        <f>IF(data_주일!W309=1,$C43,"")</f>
        <v/>
      </c>
      <c r="I43" s="46" t="str">
        <f>IF(data_주일!X309=1,$C43,"")</f>
        <v/>
      </c>
      <c r="J43" s="46" t="str">
        <f>IF(data_주일!Y309=1,$C43,"")</f>
        <v/>
      </c>
      <c r="K43" s="46" t="str">
        <f>IF(data_주일!Z309=1,$C43,"")</f>
        <v/>
      </c>
      <c r="L43" s="46" t="str">
        <f>IF(data_주일!AA309=1,$C43,"")</f>
        <v/>
      </c>
      <c r="M43" s="46" t="str">
        <f>IF(data_주일!AB309=1,$C43,"")</f>
        <v/>
      </c>
      <c r="N43" s="46" t="str">
        <f>IF(data_주일!AC309=1,$C43,"")</f>
        <v/>
      </c>
      <c r="O43" s="46" t="str">
        <f>IF(data_주일!AD309=1,$C43,"")</f>
        <v/>
      </c>
      <c r="P43" s="46" t="str">
        <f>IF(data_주일!AE309=1,$C43,"")</f>
        <v/>
      </c>
      <c r="Q43" s="46" t="str">
        <f>IF(data_주일!AF309=1,$C43,"")</f>
        <v/>
      </c>
      <c r="R43" s="46" t="str">
        <f>IF(data_주일!AF309=1,$C43,"")</f>
        <v/>
      </c>
      <c r="S43" s="46" t="str">
        <f>IF(data_주일!AG309=1,$C43,"")</f>
        <v/>
      </c>
    </row>
    <row r="44" spans="3:19" ht="12.95" customHeight="1" x14ac:dyDescent="0.3">
      <c r="C44" s="40" t="str">
        <f>IF(data_주일!C310="","",data_주일!C310)</f>
        <v>조미경</v>
      </c>
      <c r="D44" s="86" t="str">
        <f>IF(data_주일!D310="","",data_주일!D310)</f>
        <v>서금자</v>
      </c>
      <c r="E44" s="87"/>
      <c r="F44" s="40">
        <f>IF(data_주일!B310="","",data_주일!B310)</f>
        <v>11</v>
      </c>
      <c r="G44" s="46" t="str">
        <f>IF(data_주일!V310=1,$C44,"")</f>
        <v/>
      </c>
      <c r="H44" s="46" t="str">
        <f>IF(data_주일!W310=1,$C44,"")</f>
        <v/>
      </c>
      <c r="I44" s="46" t="str">
        <f>IF(data_주일!X310=1,$C44,"")</f>
        <v/>
      </c>
      <c r="J44" s="46" t="str">
        <f>IF(data_주일!Y310=1,$C44,"")</f>
        <v/>
      </c>
      <c r="K44" s="46" t="str">
        <f>IF(data_주일!Z310=1,$C44,"")</f>
        <v>조미경</v>
      </c>
      <c r="L44" s="46" t="str">
        <f>IF(data_주일!AA310=1,$C44,"")</f>
        <v/>
      </c>
      <c r="M44" s="46" t="str">
        <f>IF(data_주일!AB310=1,$C44,"")</f>
        <v/>
      </c>
      <c r="N44" s="46" t="str">
        <f>IF(data_주일!AC310=1,$C44,"")</f>
        <v/>
      </c>
      <c r="O44" s="46" t="str">
        <f>IF(data_주일!AD310=1,$C44,"")</f>
        <v/>
      </c>
      <c r="P44" s="46" t="str">
        <f>IF(data_주일!AE310=1,$C44,"")</f>
        <v/>
      </c>
      <c r="Q44" s="46" t="str">
        <f>IF(data_주일!AF310=1,$C44,"")</f>
        <v/>
      </c>
      <c r="R44" s="46" t="str">
        <f>IF(data_주일!AF310=1,$C44,"")</f>
        <v/>
      </c>
      <c r="S44" s="46" t="str">
        <f>IF(data_주일!AG310=1,$C44,"")</f>
        <v/>
      </c>
    </row>
    <row r="45" spans="3:19" ht="12.95" customHeight="1" x14ac:dyDescent="0.3">
      <c r="C45" s="40" t="str">
        <f>IF(data_주일!C311="","",data_주일!C311)</f>
        <v>차경은</v>
      </c>
      <c r="D45" s="86" t="str">
        <f>IF(data_주일!D311="","",data_주일!D311)</f>
        <v>이지영</v>
      </c>
      <c r="E45" s="87"/>
      <c r="F45" s="40">
        <f>IF(data_주일!B311="","",data_주일!B311)</f>
        <v>11</v>
      </c>
      <c r="G45" s="46" t="str">
        <f>IF(data_주일!V311=1,$C45,"")</f>
        <v/>
      </c>
      <c r="H45" s="46" t="str">
        <f>IF(data_주일!W311=1,$C45,"")</f>
        <v/>
      </c>
      <c r="I45" s="46" t="str">
        <f>IF(data_주일!X311=1,$C45,"")</f>
        <v/>
      </c>
      <c r="J45" s="46" t="str">
        <f>IF(data_주일!Y311=1,$C45,"")</f>
        <v/>
      </c>
      <c r="K45" s="46" t="str">
        <f>IF(data_주일!Z311=1,$C45,"")</f>
        <v>차경은</v>
      </c>
      <c r="L45" s="46" t="str">
        <f>IF(data_주일!AA311=1,$C45,"")</f>
        <v/>
      </c>
      <c r="M45" s="46" t="str">
        <f>IF(data_주일!AB311=1,$C45,"")</f>
        <v/>
      </c>
      <c r="N45" s="46" t="str">
        <f>IF(data_주일!AC311=1,$C45,"")</f>
        <v/>
      </c>
      <c r="O45" s="46" t="str">
        <f>IF(data_주일!AD311=1,$C45,"")</f>
        <v/>
      </c>
      <c r="P45" s="46" t="str">
        <f>IF(data_주일!AE311=1,$C45,"")</f>
        <v/>
      </c>
      <c r="Q45" s="46" t="str">
        <f>IF(data_주일!AF311=1,$C45,"")</f>
        <v/>
      </c>
      <c r="R45" s="46" t="str">
        <f>IF(data_주일!AF311=1,$C45,"")</f>
        <v/>
      </c>
      <c r="S45" s="46" t="str">
        <f>IF(data_주일!AG311=1,$C45,"")</f>
        <v/>
      </c>
    </row>
    <row r="46" spans="3:19" ht="12.95" customHeight="1" x14ac:dyDescent="0.3">
      <c r="C46" s="40" t="str">
        <f>IF(data_주일!C312="","",data_주일!C312)</f>
        <v>차미나</v>
      </c>
      <c r="D46" s="86" t="str">
        <f>IF(data_주일!D312="","",data_주일!D312)</f>
        <v>이지영</v>
      </c>
      <c r="E46" s="87"/>
      <c r="F46" s="40">
        <f>IF(data_주일!B312="","",data_주일!B312)</f>
        <v>11</v>
      </c>
      <c r="G46" s="46" t="str">
        <f>IF(data_주일!V312=1,$C46,"")</f>
        <v/>
      </c>
      <c r="H46" s="46" t="str">
        <f>IF(data_주일!W312=1,$C46,"")</f>
        <v/>
      </c>
      <c r="I46" s="46" t="str">
        <f>IF(data_주일!X312=1,$C46,"")</f>
        <v/>
      </c>
      <c r="J46" s="46" t="str">
        <f>IF(data_주일!Y312=1,$C46,"")</f>
        <v/>
      </c>
      <c r="K46" s="46" t="str">
        <f>IF(data_주일!Z312=1,$C46,"")</f>
        <v>차미나</v>
      </c>
      <c r="L46" s="46" t="str">
        <f>IF(data_주일!AA312=1,$C46,"")</f>
        <v/>
      </c>
      <c r="M46" s="46" t="str">
        <f>IF(data_주일!AB312=1,$C46,"")</f>
        <v/>
      </c>
      <c r="N46" s="46" t="str">
        <f>IF(data_주일!AC312=1,$C46,"")</f>
        <v/>
      </c>
      <c r="O46" s="46" t="str">
        <f>IF(data_주일!AD312=1,$C46,"")</f>
        <v/>
      </c>
      <c r="P46" s="46" t="str">
        <f>IF(data_주일!AE312=1,$C46,"")</f>
        <v/>
      </c>
      <c r="Q46" s="46" t="str">
        <f>IF(data_주일!AF312=1,$C46,"")</f>
        <v/>
      </c>
      <c r="R46" s="46" t="str">
        <f>IF(data_주일!AF312=1,$C46,"")</f>
        <v/>
      </c>
      <c r="S46" s="46" t="str">
        <f>IF(data_주일!AG312=1,$C46,"")</f>
        <v/>
      </c>
    </row>
    <row r="47" spans="3:19" ht="12.95" customHeight="1" x14ac:dyDescent="0.3">
      <c r="C47" s="40" t="str">
        <f>IF(data_주일!C318="","",data_주일!C318)</f>
        <v>신현금</v>
      </c>
      <c r="D47" s="86" t="str">
        <f>IF(data_주일!D318="","",data_주일!D318)</f>
        <v>김재홍</v>
      </c>
      <c r="E47" s="87"/>
      <c r="F47" s="40">
        <f>IF(data_주일!B318="","",data_주일!B318)</f>
        <v>21</v>
      </c>
      <c r="G47" s="46" t="str">
        <f>IF(data_주일!V318=1,$C47,"")</f>
        <v/>
      </c>
      <c r="H47" s="46" t="str">
        <f>IF(data_주일!W318=1,$C47,"")</f>
        <v/>
      </c>
      <c r="I47" s="46" t="str">
        <f>IF(data_주일!X318=1,$C47,"")</f>
        <v/>
      </c>
      <c r="J47" s="46" t="str">
        <f>IF(data_주일!Y318=1,$C47,"")</f>
        <v/>
      </c>
      <c r="K47" s="46" t="str">
        <f>IF(data_주일!Z318=1,$C47,"")</f>
        <v>신현금</v>
      </c>
      <c r="L47" s="46" t="str">
        <f>IF(data_주일!AA318=1,$C47,"")</f>
        <v/>
      </c>
      <c r="M47" s="46" t="str">
        <f>IF(data_주일!AB318=1,$C47,"")</f>
        <v>신현금</v>
      </c>
      <c r="N47" s="46" t="str">
        <f>IF(data_주일!AC318=1,$C47,"")</f>
        <v>신현금</v>
      </c>
      <c r="O47" s="46" t="str">
        <f>IF(data_주일!AD318=1,$C47,"")</f>
        <v>신현금</v>
      </c>
      <c r="P47" s="46" t="str">
        <f>IF(data_주일!AE318=1,$C47,"")</f>
        <v/>
      </c>
      <c r="Q47" s="46" t="str">
        <f>IF(data_주일!AF318=1,$C47,"")</f>
        <v/>
      </c>
      <c r="R47" s="46" t="str">
        <f>IF(data_주일!AF318=1,$C47,"")</f>
        <v/>
      </c>
      <c r="S47" s="46" t="str">
        <f>IF(data_주일!AG318=1,$C47,"")</f>
        <v/>
      </c>
    </row>
    <row r="48" spans="3:19" ht="12.95" customHeight="1" x14ac:dyDescent="0.3">
      <c r="C48" s="40" t="str">
        <f>IF(data_주일!C319="","",data_주일!C319)</f>
        <v>노정희</v>
      </c>
      <c r="D48" s="86" t="str">
        <f>IF(data_주일!D319="","",data_주일!D319)</f>
        <v>박점숙</v>
      </c>
      <c r="E48" s="87"/>
      <c r="F48" s="40">
        <f>IF(data_주일!B319="","",data_주일!B319)</f>
        <v>21</v>
      </c>
      <c r="G48" s="46" t="str">
        <f>IF(data_주일!V319=1,$C48,"")</f>
        <v/>
      </c>
      <c r="H48" s="46" t="str">
        <f>IF(data_주일!W319=1,$C48,"")</f>
        <v/>
      </c>
      <c r="I48" s="46" t="str">
        <f>IF(data_주일!X319=1,$C48,"")</f>
        <v/>
      </c>
      <c r="J48" s="46" t="str">
        <f>IF(data_주일!Y319=1,$C48,"")</f>
        <v/>
      </c>
      <c r="K48" s="46" t="str">
        <f>IF(data_주일!Z319=1,$C48,"")</f>
        <v>노정희</v>
      </c>
      <c r="L48" s="46" t="str">
        <f>IF(data_주일!AA319=1,$C48,"")</f>
        <v/>
      </c>
      <c r="M48" s="46" t="str">
        <f>IF(data_주일!AB319=1,$C48,"")</f>
        <v>노정희</v>
      </c>
      <c r="N48" s="46" t="str">
        <f>IF(data_주일!AC319=1,$C48,"")</f>
        <v>노정희</v>
      </c>
      <c r="O48" s="46" t="str">
        <f>IF(data_주일!AD319=1,$C48,"")</f>
        <v>노정희</v>
      </c>
      <c r="P48" s="46" t="str">
        <f>IF(data_주일!AE319=1,$C48,"")</f>
        <v/>
      </c>
      <c r="Q48" s="46" t="str">
        <f>IF(data_주일!AF319=1,$C48,"")</f>
        <v/>
      </c>
      <c r="R48" s="46" t="str">
        <f>IF(data_주일!AF319=1,$C48,"")</f>
        <v/>
      </c>
      <c r="S48" s="46" t="str">
        <f>IF(data_주일!AG319=1,$C48,"")</f>
        <v/>
      </c>
    </row>
    <row r="49" spans="3:19" ht="12.95" customHeight="1" x14ac:dyDescent="0.3">
      <c r="C49" s="40" t="str">
        <f>IF(data_주일!C321="","",data_주일!C321)</f>
        <v>김창명</v>
      </c>
      <c r="D49" s="86" t="str">
        <f>IF(data_주일!D321="","",data_주일!D321)</f>
        <v>배미숙</v>
      </c>
      <c r="E49" s="87"/>
      <c r="F49" s="40">
        <f>IF(data_주일!B321="","",data_주일!B321)</f>
        <v>22</v>
      </c>
      <c r="G49" s="46" t="str">
        <f>IF(data_주일!V321=1,$C49,"")</f>
        <v>김창명</v>
      </c>
      <c r="H49" s="46" t="str">
        <f>IF(data_주일!W321=1,$C49,"")</f>
        <v/>
      </c>
      <c r="I49" s="46" t="str">
        <f>IF(data_주일!X321=1,$C49,"")</f>
        <v/>
      </c>
      <c r="J49" s="46" t="str">
        <f>IF(data_주일!Y321=1,$C49,"")</f>
        <v>김창명</v>
      </c>
      <c r="K49" s="46" t="str">
        <f>IF(data_주일!Z321=1,$C49,"")</f>
        <v>김창명</v>
      </c>
      <c r="L49" s="46" t="str">
        <f>IF(data_주일!AA321=1,$C49,"")</f>
        <v/>
      </c>
      <c r="M49" s="46" t="str">
        <f>IF(data_주일!AB321=1,$C49,"")</f>
        <v>김창명</v>
      </c>
      <c r="N49" s="46" t="str">
        <f>IF(data_주일!AC321=1,$C49,"")</f>
        <v/>
      </c>
      <c r="O49" s="46" t="str">
        <f>IF(data_주일!AD321=1,$C49,"")</f>
        <v/>
      </c>
      <c r="P49" s="46" t="str">
        <f>IF(data_주일!AE321=1,$C49,"")</f>
        <v/>
      </c>
      <c r="Q49" s="46" t="str">
        <f>IF(data_주일!AF321=1,$C49,"")</f>
        <v/>
      </c>
      <c r="R49" s="46" t="str">
        <f>IF(data_주일!AF321=1,$C49,"")</f>
        <v/>
      </c>
      <c r="S49" s="46" t="str">
        <f>IF(data_주일!AG321=1,$C49,"")</f>
        <v/>
      </c>
    </row>
    <row r="50" spans="3:19" ht="12.95" customHeight="1" x14ac:dyDescent="0.3">
      <c r="C50" s="40" t="str">
        <f>IF(data_주일!C323="","",data_주일!C323)</f>
        <v>이경옥</v>
      </c>
      <c r="D50" s="86" t="str">
        <f>IF(data_주일!D323="","",data_주일!D323)</f>
        <v>배미숙</v>
      </c>
      <c r="E50" s="87"/>
      <c r="F50" s="40">
        <f>IF(data_주일!B323="","",data_주일!B323)</f>
        <v>22</v>
      </c>
      <c r="G50" s="46" t="str">
        <f>IF(data_주일!V323=1,$C50,"")</f>
        <v/>
      </c>
      <c r="H50" s="46" t="str">
        <f>IF(data_주일!W323=1,$C50,"")</f>
        <v/>
      </c>
      <c r="I50" s="46" t="str">
        <f>IF(data_주일!X323=1,$C50,"")</f>
        <v/>
      </c>
      <c r="J50" s="46" t="str">
        <f>IF(data_주일!Y323=1,$C50,"")</f>
        <v/>
      </c>
      <c r="K50" s="46" t="str">
        <f>IF(data_주일!Z323=1,$C50,"")</f>
        <v>이경옥</v>
      </c>
      <c r="L50" s="46" t="str">
        <f>IF(data_주일!AA323=1,$C50,"")</f>
        <v/>
      </c>
      <c r="M50" s="46" t="str">
        <f>IF(data_주일!AB323=1,$C50,"")</f>
        <v/>
      </c>
      <c r="N50" s="46" t="str">
        <f>IF(data_주일!AC323=1,$C50,"")</f>
        <v>이경옥</v>
      </c>
      <c r="O50" s="46" t="str">
        <f>IF(data_주일!AD323=1,$C50,"")</f>
        <v/>
      </c>
      <c r="P50" s="46" t="str">
        <f>IF(data_주일!AE323=1,$C50,"")</f>
        <v>이경옥</v>
      </c>
      <c r="Q50" s="46" t="str">
        <f>IF(data_주일!AF323=1,$C50,"")</f>
        <v>이경옥</v>
      </c>
      <c r="R50" s="46" t="str">
        <f>IF(data_주일!AF323=1,$C50,"")</f>
        <v>이경옥</v>
      </c>
      <c r="S50" s="46" t="str">
        <f>IF(data_주일!AG323=1,$C50,"")</f>
        <v>이경옥</v>
      </c>
    </row>
    <row r="51" spans="3:19" ht="12.95" customHeight="1" x14ac:dyDescent="0.3">
      <c r="C51" s="40" t="str">
        <f>IF(data_주일!C325="","",data_주일!C325)</f>
        <v>정니영</v>
      </c>
      <c r="D51" s="86" t="str">
        <f>IF(data_주일!D325="","",data_주일!D325)</f>
        <v>박미옥</v>
      </c>
      <c r="E51" s="87"/>
      <c r="F51" s="40">
        <f>IF(data_주일!B325="","",data_주일!B325)</f>
        <v>22</v>
      </c>
      <c r="G51" s="46" t="str">
        <f>IF(data_주일!V325=1,$C51,"")</f>
        <v/>
      </c>
      <c r="H51" s="46" t="str">
        <f>IF(data_주일!W325=1,$C51,"")</f>
        <v/>
      </c>
      <c r="I51" s="46" t="str">
        <f>IF(data_주일!X325=1,$C51,"")</f>
        <v/>
      </c>
      <c r="J51" s="46" t="str">
        <f>IF(data_주일!Y325=1,$C51,"")</f>
        <v/>
      </c>
      <c r="K51" s="46" t="str">
        <f>IF(data_주일!Z325=1,$C51,"")</f>
        <v/>
      </c>
      <c r="L51" s="46" t="str">
        <f>IF(data_주일!AA325=1,$C51,"")</f>
        <v/>
      </c>
      <c r="M51" s="46" t="str">
        <f>IF(data_주일!AB325=1,$C51,"")</f>
        <v/>
      </c>
      <c r="N51" s="46" t="str">
        <f>IF(data_주일!AC325=1,$C51,"")</f>
        <v>정니영</v>
      </c>
      <c r="O51" s="46" t="str">
        <f>IF(data_주일!AD325=1,$C51,"")</f>
        <v/>
      </c>
      <c r="P51" s="46" t="str">
        <f>IF(data_주일!AE325=1,$C51,"")</f>
        <v>정니영</v>
      </c>
      <c r="Q51" s="46" t="str">
        <f>IF(data_주일!AF325=1,$C51,"")</f>
        <v>정니영</v>
      </c>
      <c r="R51" s="46" t="str">
        <f>IF(data_주일!AF325=1,$C51,"")</f>
        <v>정니영</v>
      </c>
      <c r="S51" s="46" t="str">
        <f>IF(data_주일!AG325=1,$C51,"")</f>
        <v>정니영</v>
      </c>
    </row>
    <row r="52" spans="3:19" ht="12.95" customHeight="1" x14ac:dyDescent="0.3">
      <c r="C52" s="40" t="str">
        <f>IF(data_주일!C326="","",data_주일!C326)</f>
        <v>김명선</v>
      </c>
      <c r="D52" s="86" t="str">
        <f>IF(data_주일!D326="","",data_주일!D326)</f>
        <v>김명선</v>
      </c>
      <c r="E52" s="87"/>
      <c r="F52" s="40">
        <f>IF(data_주일!B326="","",data_주일!B326)</f>
        <v>31</v>
      </c>
      <c r="G52" s="46" t="str">
        <f>IF(data_주일!V326=1,$C52,"")</f>
        <v/>
      </c>
      <c r="H52" s="46" t="str">
        <f>IF(data_주일!W326=1,$C52,"")</f>
        <v/>
      </c>
      <c r="I52" s="46" t="str">
        <f>IF(data_주일!X326=1,$C52,"")</f>
        <v/>
      </c>
      <c r="J52" s="46" t="str">
        <f>IF(data_주일!Y326=1,$C52,"")</f>
        <v/>
      </c>
      <c r="K52" s="46" t="str">
        <f>IF(data_주일!Z326=1,$C52,"")</f>
        <v>김명선</v>
      </c>
      <c r="L52" s="46" t="str">
        <f>IF(data_주일!AA326=1,$C52,"")</f>
        <v>김명선</v>
      </c>
      <c r="M52" s="46" t="str">
        <f>IF(data_주일!AB326=1,$C52,"")</f>
        <v>김명선</v>
      </c>
      <c r="N52" s="46" t="str">
        <f>IF(data_주일!AC326=1,$C52,"")</f>
        <v>김명선</v>
      </c>
      <c r="O52" s="46" t="str">
        <f>IF(data_주일!AD326=1,$C52,"")</f>
        <v>김명선</v>
      </c>
      <c r="P52" s="46" t="str">
        <f>IF(data_주일!AE326=1,$C52,"")</f>
        <v>김명선</v>
      </c>
      <c r="Q52" s="46" t="str">
        <f>IF(data_주일!AF326=1,$C52,"")</f>
        <v>김명선</v>
      </c>
      <c r="R52" s="46" t="str">
        <f>IF(data_주일!AF326=1,$C52,"")</f>
        <v>김명선</v>
      </c>
      <c r="S52" s="46" t="str">
        <f>IF(data_주일!AG326=1,$C52,"")</f>
        <v/>
      </c>
    </row>
    <row r="53" spans="3:19" ht="12.95" customHeight="1" x14ac:dyDescent="0.3">
      <c r="C53" s="40" t="str">
        <f>IF(data_주일!C328="","",data_주일!C328)</f>
        <v>정양선</v>
      </c>
      <c r="D53" s="86" t="str">
        <f>IF(data_주일!D328="","",data_주일!D328)</f>
        <v>이미화</v>
      </c>
      <c r="E53" s="87"/>
      <c r="F53" s="40">
        <f>IF(data_주일!B328="","",data_주일!B328)</f>
        <v>32</v>
      </c>
      <c r="G53" s="46" t="str">
        <f>IF(data_주일!V328=1,$C53,"")</f>
        <v/>
      </c>
      <c r="H53" s="46" t="str">
        <f>IF(data_주일!W328=1,$C53,"")</f>
        <v/>
      </c>
      <c r="I53" s="46" t="str">
        <f>IF(data_주일!X328=1,$C53,"")</f>
        <v/>
      </c>
      <c r="J53" s="46" t="str">
        <f>IF(data_주일!Y328=1,$C53,"")</f>
        <v/>
      </c>
      <c r="K53" s="46" t="str">
        <f>IF(data_주일!Z328=1,$C53,"")</f>
        <v>정양선</v>
      </c>
      <c r="L53" s="46" t="str">
        <f>IF(data_주일!AA328=1,$C53,"")</f>
        <v>정양선</v>
      </c>
      <c r="M53" s="46" t="str">
        <f>IF(data_주일!AB328=1,$C53,"")</f>
        <v/>
      </c>
      <c r="N53" s="46" t="str">
        <f>IF(data_주일!AC328=1,$C53,"")</f>
        <v/>
      </c>
      <c r="O53" s="46" t="str">
        <f>IF(data_주일!AD328=1,$C53,"")</f>
        <v/>
      </c>
      <c r="P53" s="46" t="str">
        <f>IF(data_주일!AE328=1,$C53,"")</f>
        <v>정양선</v>
      </c>
      <c r="Q53" s="46" t="str">
        <f>IF(data_주일!AF328=1,$C53,"")</f>
        <v/>
      </c>
      <c r="R53" s="46" t="str">
        <f>IF(data_주일!AF328=1,$C53,"")</f>
        <v/>
      </c>
      <c r="S53" s="46" t="str">
        <f>IF(data_주일!AG328=1,$C53,"")</f>
        <v/>
      </c>
    </row>
    <row r="54" spans="3:19" ht="12.95" customHeight="1" x14ac:dyDescent="0.3">
      <c r="C54" s="40" t="str">
        <f>IF(data_주일!C329="","",data_주일!C329)</f>
        <v>최영욱</v>
      </c>
      <c r="D54" s="86" t="str">
        <f>IF(data_주일!D329="","",data_주일!D329)</f>
        <v>최명희</v>
      </c>
      <c r="E54" s="87"/>
      <c r="F54" s="40">
        <f>IF(data_주일!B329="","",data_주일!B329)</f>
        <v>32</v>
      </c>
      <c r="G54" s="46" t="str">
        <f>IF(data_주일!V329=1,$C54,"")</f>
        <v/>
      </c>
      <c r="H54" s="46" t="str">
        <f>IF(data_주일!W329=1,$C54,"")</f>
        <v/>
      </c>
      <c r="I54" s="46" t="str">
        <f>IF(data_주일!X329=1,$C54,"")</f>
        <v/>
      </c>
      <c r="J54" s="46" t="str">
        <f>IF(data_주일!Y329=1,$C54,"")</f>
        <v/>
      </c>
      <c r="K54" s="46" t="str">
        <f>IF(data_주일!Z329=1,$C54,"")</f>
        <v/>
      </c>
      <c r="L54" s="46" t="str">
        <f>IF(data_주일!AA329=1,$C54,"")</f>
        <v/>
      </c>
      <c r="M54" s="46" t="str">
        <f>IF(data_주일!AB329=1,$C54,"")</f>
        <v/>
      </c>
      <c r="N54" s="46" t="str">
        <f>IF(data_주일!AC329=1,$C54,"")</f>
        <v/>
      </c>
      <c r="O54" s="46" t="str">
        <f>IF(data_주일!AD329=1,$C54,"")</f>
        <v/>
      </c>
      <c r="P54" s="46" t="str">
        <f>IF(data_주일!AE329=1,$C54,"")</f>
        <v/>
      </c>
      <c r="Q54" s="46" t="str">
        <f>IF(data_주일!AF329=1,$C54,"")</f>
        <v/>
      </c>
      <c r="R54" s="46" t="str">
        <f>IF(data_주일!AF329=1,$C54,"")</f>
        <v/>
      </c>
      <c r="S54" s="46" t="str">
        <f>IF(data_주일!AG329=1,$C54,"")</f>
        <v/>
      </c>
    </row>
    <row r="55" spans="3:19" ht="12.95" customHeight="1" x14ac:dyDescent="0.3">
      <c r="C55" s="40" t="str">
        <f>IF(data_주일!C330="","",data_주일!C330)</f>
        <v>최명희</v>
      </c>
      <c r="D55" s="86" t="str">
        <f>IF(data_주일!D330="","",data_주일!D330)</f>
        <v>윤영희</v>
      </c>
      <c r="E55" s="87"/>
      <c r="F55" s="40">
        <f>IF(data_주일!B330="","",data_주일!B330)</f>
        <v>32</v>
      </c>
      <c r="G55" s="46" t="str">
        <f>IF(data_주일!V330=1,$C55,"")</f>
        <v/>
      </c>
      <c r="H55" s="46" t="str">
        <f>IF(data_주일!W330=1,$C55,"")</f>
        <v/>
      </c>
      <c r="I55" s="46" t="str">
        <f>IF(data_주일!X330=1,$C55,"")</f>
        <v/>
      </c>
      <c r="J55" s="46" t="str">
        <f>IF(data_주일!Y330=1,$C55,"")</f>
        <v/>
      </c>
      <c r="K55" s="46" t="str">
        <f>IF(data_주일!Z330=1,$C55,"")</f>
        <v/>
      </c>
      <c r="L55" s="46" t="str">
        <f>IF(data_주일!AA330=1,$C55,"")</f>
        <v/>
      </c>
      <c r="M55" s="46" t="str">
        <f>IF(data_주일!AB330=1,$C55,"")</f>
        <v/>
      </c>
      <c r="N55" s="46" t="str">
        <f>IF(data_주일!AC330=1,$C55,"")</f>
        <v/>
      </c>
      <c r="O55" s="46" t="str">
        <f>IF(data_주일!AD330=1,$C55,"")</f>
        <v/>
      </c>
      <c r="P55" s="46" t="str">
        <f>IF(data_주일!AE330=1,$C55,"")</f>
        <v/>
      </c>
      <c r="Q55" s="46" t="str">
        <f>IF(data_주일!AF330=1,$C55,"")</f>
        <v/>
      </c>
      <c r="R55" s="46" t="str">
        <f>IF(data_주일!AF330=1,$C55,"")</f>
        <v/>
      </c>
      <c r="S55" s="46" t="str">
        <f>IF(data_주일!AG330=1,$C55,"")</f>
        <v/>
      </c>
    </row>
    <row r="56" spans="3:19" ht="12.95" customHeight="1" x14ac:dyDescent="0.3">
      <c r="C56" s="40" t="str">
        <f>IF(data_주일!C331="","",data_주일!C331)</f>
        <v>이예인</v>
      </c>
      <c r="D56" s="86" t="str">
        <f>IF(data_주일!D331="","",data_주일!D331)</f>
        <v>오은경</v>
      </c>
      <c r="E56" s="87"/>
      <c r="F56" s="40">
        <f>IF(data_주일!B331="","",data_주일!B331)</f>
        <v>32</v>
      </c>
      <c r="G56" s="46" t="str">
        <f>IF(data_주일!V331=1,$C56,"")</f>
        <v/>
      </c>
      <c r="H56" s="46" t="str">
        <f>IF(data_주일!W331=1,$C56,"")</f>
        <v/>
      </c>
      <c r="I56" s="46" t="str">
        <f>IF(data_주일!X331=1,$C56,"")</f>
        <v/>
      </c>
      <c r="J56" s="46" t="str">
        <f>IF(data_주일!Y331=1,$C56,"")</f>
        <v/>
      </c>
      <c r="K56" s="46" t="str">
        <f>IF(data_주일!Z331=1,$C56,"")</f>
        <v/>
      </c>
      <c r="L56" s="46" t="str">
        <f>IF(data_주일!AA331=1,$C56,"")</f>
        <v/>
      </c>
      <c r="M56" s="46" t="str">
        <f>IF(data_주일!AB331=1,$C56,"")</f>
        <v/>
      </c>
      <c r="N56" s="46" t="str">
        <f>IF(data_주일!AC331=1,$C56,"")</f>
        <v>이예인</v>
      </c>
      <c r="O56" s="46" t="str">
        <f>IF(data_주일!AD331=1,$C56,"")</f>
        <v/>
      </c>
      <c r="P56" s="46" t="str">
        <f>IF(data_주일!AE331=1,$C56,"")</f>
        <v/>
      </c>
      <c r="Q56" s="46" t="str">
        <f>IF(data_주일!AF331=1,$C56,"")</f>
        <v/>
      </c>
      <c r="R56" s="46" t="str">
        <f>IF(data_주일!AF331=1,$C56,"")</f>
        <v/>
      </c>
      <c r="S56" s="46" t="str">
        <f>IF(data_주일!AG331=1,$C56,"")</f>
        <v/>
      </c>
    </row>
    <row r="57" spans="3:19" ht="12.95" customHeight="1" x14ac:dyDescent="0.3">
      <c r="C57" s="40" t="str">
        <f>IF(data_주일!C332="","",data_주일!C332)</f>
        <v>오상진</v>
      </c>
      <c r="D57" s="86" t="str">
        <f>IF(data_주일!D332="","",data_주일!D332)</f>
        <v>최명희</v>
      </c>
      <c r="E57" s="87"/>
      <c r="F57" s="40">
        <f>IF(data_주일!B332="","",data_주일!B332)</f>
        <v>32</v>
      </c>
      <c r="G57" s="46" t="str">
        <f>IF(data_주일!V332=1,$C57,"")</f>
        <v/>
      </c>
      <c r="H57" s="46" t="str">
        <f>IF(data_주일!W332=1,$C57,"")</f>
        <v/>
      </c>
      <c r="I57" s="46" t="str">
        <f>IF(data_주일!X332=1,$C57,"")</f>
        <v/>
      </c>
      <c r="J57" s="46" t="str">
        <f>IF(data_주일!Y332=1,$C57,"")</f>
        <v/>
      </c>
      <c r="K57" s="46" t="str">
        <f>IF(data_주일!Z332=1,$C57,"")</f>
        <v/>
      </c>
      <c r="L57" s="46" t="str">
        <f>IF(data_주일!AA332=1,$C57,"")</f>
        <v/>
      </c>
      <c r="M57" s="46" t="str">
        <f>IF(data_주일!AB332=1,$C57,"")</f>
        <v/>
      </c>
      <c r="N57" s="46" t="str">
        <f>IF(data_주일!AC332=1,$C57,"")</f>
        <v>오상진</v>
      </c>
      <c r="O57" s="46" t="str">
        <f>IF(data_주일!AD332=1,$C57,"")</f>
        <v/>
      </c>
      <c r="P57" s="46" t="str">
        <f>IF(data_주일!AE332=1,$C57,"")</f>
        <v/>
      </c>
      <c r="Q57" s="46" t="str">
        <f>IF(data_주일!AF332=1,$C57,"")</f>
        <v/>
      </c>
      <c r="R57" s="46" t="str">
        <f>IF(data_주일!AF332=1,$C57,"")</f>
        <v/>
      </c>
      <c r="S57" s="46" t="str">
        <f>IF(data_주일!AG332=1,$C57,"")</f>
        <v/>
      </c>
    </row>
    <row r="58" spans="3:19" ht="12.95" customHeight="1" x14ac:dyDescent="0.3">
      <c r="C58" s="40" t="str">
        <f>IF(data_주일!C335="","",data_주일!C335)</f>
        <v>김예솔</v>
      </c>
      <c r="D58" s="86" t="str">
        <f>IF(data_주일!D335="","",data_주일!D335)</f>
        <v>백종애</v>
      </c>
      <c r="E58" s="87"/>
      <c r="F58" s="40">
        <f>IF(data_주일!B335="","",data_주일!B335)</f>
        <v>41</v>
      </c>
      <c r="G58" s="46" t="str">
        <f>IF(data_주일!V335=1,$C58,"")</f>
        <v/>
      </c>
      <c r="H58" s="46" t="str">
        <f>IF(data_주일!W335=1,$C58,"")</f>
        <v/>
      </c>
      <c r="I58" s="46" t="str">
        <f>IF(data_주일!X335=1,$C58,"")</f>
        <v/>
      </c>
      <c r="J58" s="46" t="str">
        <f>IF(data_주일!Y335=1,$C58,"")</f>
        <v/>
      </c>
      <c r="K58" s="46" t="str">
        <f>IF(data_주일!Z335=1,$C58,"")</f>
        <v>김예솔</v>
      </c>
      <c r="L58" s="46" t="str">
        <f>IF(data_주일!AA335=1,$C58,"")</f>
        <v>김예솔</v>
      </c>
      <c r="M58" s="46" t="str">
        <f>IF(data_주일!AB335=1,$C58,"")</f>
        <v>김예솔</v>
      </c>
      <c r="N58" s="46" t="str">
        <f>IF(data_주일!AC335=1,$C58,"")</f>
        <v>김예솔</v>
      </c>
      <c r="O58" s="46" t="str">
        <f>IF(data_주일!AD335=1,$C58,"")</f>
        <v>김예솔</v>
      </c>
      <c r="P58" s="46" t="str">
        <f>IF(data_주일!AE335=1,$C58,"")</f>
        <v>김예솔</v>
      </c>
      <c r="Q58" s="46" t="str">
        <f>IF(data_주일!AF335=1,$C58,"")</f>
        <v>김예솔</v>
      </c>
      <c r="R58" s="46" t="str">
        <f>IF(data_주일!AF335=1,$C58,"")</f>
        <v>김예솔</v>
      </c>
      <c r="S58" s="46" t="str">
        <f>IF(data_주일!AG335=1,$C58,"")</f>
        <v>김예솔</v>
      </c>
    </row>
    <row r="59" spans="3:19" ht="12.95" customHeight="1" x14ac:dyDescent="0.3">
      <c r="C59" s="110" t="s">
        <v>360</v>
      </c>
      <c r="D59" s="111"/>
      <c r="E59" s="111"/>
      <c r="F59" s="112"/>
      <c r="G59" s="56">
        <f t="shared" ref="G59:J59" si="5">COUNTA(G43:G58)-COUNTIF(G43:G58,"")</f>
        <v>1</v>
      </c>
      <c r="H59" s="56">
        <f t="shared" si="5"/>
        <v>0</v>
      </c>
      <c r="I59" s="56">
        <f t="shared" si="5"/>
        <v>0</v>
      </c>
      <c r="J59" s="56">
        <f t="shared" si="5"/>
        <v>1</v>
      </c>
      <c r="K59" s="56">
        <f>COUNTA(K43:K58)-COUNTIF(K43:K58,"")</f>
        <v>10</v>
      </c>
      <c r="L59" s="56">
        <f t="shared" ref="L59:S59" si="6">COUNTA(L43:L58)-COUNTIF(L43:L58,"")</f>
        <v>3</v>
      </c>
      <c r="M59" s="56">
        <f t="shared" si="6"/>
        <v>5</v>
      </c>
      <c r="N59" s="56">
        <f t="shared" si="6"/>
        <v>8</v>
      </c>
      <c r="O59" s="56">
        <f t="shared" si="6"/>
        <v>4</v>
      </c>
      <c r="P59" s="56">
        <f t="shared" si="6"/>
        <v>5</v>
      </c>
      <c r="Q59" s="56">
        <f t="shared" si="6"/>
        <v>4</v>
      </c>
      <c r="R59" s="56">
        <f t="shared" si="6"/>
        <v>4</v>
      </c>
      <c r="S59" s="56">
        <f t="shared" si="6"/>
        <v>3</v>
      </c>
    </row>
    <row r="60" spans="3:19" ht="22.9" customHeight="1" x14ac:dyDescent="0.3">
      <c r="C60" s="106" t="s">
        <v>386</v>
      </c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</row>
    <row r="61" spans="3:19" ht="4.9000000000000004" customHeight="1" x14ac:dyDescent="0.3"/>
  </sheetData>
  <mergeCells count="37">
    <mergeCell ref="C60:S60"/>
    <mergeCell ref="D54:E54"/>
    <mergeCell ref="D55:E55"/>
    <mergeCell ref="D56:E56"/>
    <mergeCell ref="D57:E57"/>
    <mergeCell ref="D58:E58"/>
    <mergeCell ref="C59:F59"/>
    <mergeCell ref="D53:E53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C37:S37"/>
    <mergeCell ref="D19:E19"/>
    <mergeCell ref="D20:E20"/>
    <mergeCell ref="D21:E21"/>
    <mergeCell ref="D22:E22"/>
    <mergeCell ref="D23:E23"/>
    <mergeCell ref="D24:E24"/>
    <mergeCell ref="D25:E25"/>
    <mergeCell ref="C26:E27"/>
    <mergeCell ref="C28:F28"/>
    <mergeCell ref="C29:S29"/>
    <mergeCell ref="C32:S32"/>
    <mergeCell ref="D18:E18"/>
    <mergeCell ref="C13:E13"/>
    <mergeCell ref="C14:E14"/>
    <mergeCell ref="D15:E15"/>
    <mergeCell ref="D16:E16"/>
    <mergeCell ref="D17:E17"/>
  </mergeCells>
  <phoneticPr fontId="7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  <rowBreaks count="1" manualBreakCount="1">
    <brk id="30" max="2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B38E8-70CF-4DBE-9B60-EF58863EF236}">
  <sheetPr>
    <pageSetUpPr fitToPage="1"/>
  </sheetPr>
  <dimension ref="C1:Y70"/>
  <sheetViews>
    <sheetView showGridLines="0" topLeftCell="A35" zoomScaleNormal="100" zoomScaleSheetLayoutView="85" workbookViewId="0">
      <selection activeCell="V6" sqref="V6"/>
    </sheetView>
  </sheetViews>
  <sheetFormatPr defaultColWidth="9" defaultRowHeight="16.5" x14ac:dyDescent="0.3"/>
  <cols>
    <col min="1" max="2" width="1.75" style="29" customWidth="1"/>
    <col min="3" max="3" width="7.75" style="28" customWidth="1"/>
    <col min="4" max="5" width="3.75" style="28" customWidth="1"/>
    <col min="6" max="6" width="10.25" style="28" customWidth="1"/>
    <col min="7" max="10" width="9.75" style="28" hidden="1" customWidth="1"/>
    <col min="11" max="15" width="9.75" style="28" customWidth="1"/>
    <col min="16" max="24" width="9.75" style="29" customWidth="1"/>
    <col min="25" max="25" width="13.75" style="66" customWidth="1"/>
    <col min="26" max="26" width="1.75" style="29" customWidth="1"/>
    <col min="27" max="16384" width="9" style="29"/>
  </cols>
  <sheetData>
    <row r="1" spans="3:25" ht="16.149999999999999" customHeight="1" x14ac:dyDescent="0.3"/>
    <row r="2" spans="3:25" ht="16.149999999999999" customHeight="1" x14ac:dyDescent="0.3"/>
    <row r="3" spans="3:25" ht="16.149999999999999" customHeight="1" x14ac:dyDescent="0.3"/>
    <row r="4" spans="3:25" ht="16.149999999999999" customHeight="1" x14ac:dyDescent="0.3"/>
    <row r="5" spans="3:25" ht="16.149999999999999" customHeight="1" x14ac:dyDescent="0.3"/>
    <row r="6" spans="3:25" ht="16.149999999999999" customHeight="1" x14ac:dyDescent="0.3"/>
    <row r="7" spans="3:25" ht="16.149999999999999" customHeight="1" x14ac:dyDescent="0.3"/>
    <row r="8" spans="3:25" ht="16.149999999999999" customHeight="1" x14ac:dyDescent="0.3"/>
    <row r="9" spans="3:25" ht="16.149999999999999" customHeight="1" x14ac:dyDescent="0.3"/>
    <row r="10" spans="3:25" ht="16.149999999999999" customHeight="1" x14ac:dyDescent="0.3"/>
    <row r="11" spans="3:25" ht="16.149999999999999" customHeight="1" x14ac:dyDescent="0.3"/>
    <row r="12" spans="3:25" ht="41.45" customHeight="1" x14ac:dyDescent="0.3"/>
    <row r="13" spans="3:25" ht="16.149999999999999" customHeight="1" x14ac:dyDescent="0.3">
      <c r="C13" s="90" t="s">
        <v>346</v>
      </c>
      <c r="D13" s="91"/>
      <c r="E13" s="92"/>
      <c r="F13" s="78" t="s">
        <v>341</v>
      </c>
      <c r="G13" s="65">
        <v>45752</v>
      </c>
      <c r="H13" s="65">
        <v>45759</v>
      </c>
      <c r="I13" s="65">
        <v>45766</v>
      </c>
      <c r="J13" s="65">
        <v>45773</v>
      </c>
      <c r="K13" s="6">
        <v>46145</v>
      </c>
      <c r="L13" s="6">
        <v>46152</v>
      </c>
      <c r="M13" s="6">
        <v>46159</v>
      </c>
      <c r="N13" s="6">
        <v>46166</v>
      </c>
      <c r="O13" s="6">
        <v>46173</v>
      </c>
      <c r="P13" s="6">
        <v>46180</v>
      </c>
      <c r="Q13" s="6">
        <v>46187</v>
      </c>
      <c r="R13" s="6">
        <v>46194</v>
      </c>
      <c r="S13" s="6">
        <v>46201</v>
      </c>
      <c r="T13" s="6">
        <v>46208</v>
      </c>
      <c r="U13" s="6">
        <v>46215</v>
      </c>
      <c r="V13" s="6">
        <v>46222</v>
      </c>
      <c r="W13" s="6">
        <v>46229</v>
      </c>
      <c r="X13" s="6">
        <v>46236</v>
      </c>
      <c r="Y13" s="79" t="s">
        <v>398</v>
      </c>
    </row>
    <row r="14" spans="3:25" ht="16.149999999999999" customHeight="1" x14ac:dyDescent="0.3">
      <c r="C14" s="93" t="s">
        <v>342</v>
      </c>
      <c r="D14" s="94"/>
      <c r="E14" s="94"/>
      <c r="F14" s="67">
        <v>288</v>
      </c>
      <c r="G14" s="68">
        <f>SUMIF(data_주일!V$11:V$303,1,data_주일!V$11:V$303)</f>
        <v>197</v>
      </c>
      <c r="H14" s="68">
        <f>SUMIF(data_주일!W$11:W$303,1,data_주일!W$11:W$303)</f>
        <v>193</v>
      </c>
      <c r="I14" s="68">
        <f>SUMIF(data_주일!X$11:X$303,1,data_주일!X$11:X$303)</f>
        <v>216</v>
      </c>
      <c r="J14" s="68">
        <f>SUMIF(data_주일!Y$11:Y$303,1,data_주일!Y$11:Y$303)</f>
        <v>212</v>
      </c>
      <c r="K14" s="84">
        <f>IFERROR(SUM(K16:K25),"")</f>
        <v>201</v>
      </c>
      <c r="L14" s="84">
        <f t="shared" ref="L14:X14" si="0">IFERROR(SUM(L16:L25),"")</f>
        <v>198</v>
      </c>
      <c r="M14" s="84">
        <f t="shared" si="0"/>
        <v>212</v>
      </c>
      <c r="N14" s="84">
        <f t="shared" si="0"/>
        <v>210</v>
      </c>
      <c r="O14" s="84">
        <f t="shared" si="0"/>
        <v>206</v>
      </c>
      <c r="P14" s="84">
        <f t="shared" si="0"/>
        <v>217</v>
      </c>
      <c r="Q14" s="84">
        <f t="shared" si="0"/>
        <v>207</v>
      </c>
      <c r="R14" s="84">
        <f t="shared" si="0"/>
        <v>201</v>
      </c>
      <c r="S14" s="84">
        <f t="shared" si="0"/>
        <v>204</v>
      </c>
      <c r="T14" s="84">
        <f t="shared" si="0"/>
        <v>212</v>
      </c>
      <c r="U14" s="84">
        <f t="shared" si="0"/>
        <v>212</v>
      </c>
      <c r="V14" s="84">
        <f>IFERROR(SUM(V16:V25),"")</f>
        <v>223</v>
      </c>
      <c r="W14" s="84">
        <f t="shared" si="0"/>
        <v>0</v>
      </c>
      <c r="X14" s="84">
        <f t="shared" si="0"/>
        <v>212</v>
      </c>
      <c r="Y14" s="80">
        <f>SUM(K14:X14)/(COUNTA(K14:X14)-COUNTIF(K14:X14,0))</f>
        <v>208.84615384615384</v>
      </c>
    </row>
    <row r="15" spans="3:25" ht="16.149999999999999" customHeight="1" x14ac:dyDescent="0.3">
      <c r="C15" s="69"/>
      <c r="D15" s="95" t="s">
        <v>390</v>
      </c>
      <c r="E15" s="95"/>
      <c r="F15" s="70" t="s">
        <v>389</v>
      </c>
      <c r="G15" s="71">
        <f t="shared" ref="G15:J15" si="1">IFERROR(G14/$F$14,"")</f>
        <v>0.68402777777777779</v>
      </c>
      <c r="H15" s="71">
        <f t="shared" si="1"/>
        <v>0.67013888888888884</v>
      </c>
      <c r="I15" s="71">
        <f t="shared" si="1"/>
        <v>0.75</v>
      </c>
      <c r="J15" s="71">
        <f t="shared" si="1"/>
        <v>0.73611111111111116</v>
      </c>
      <c r="K15" s="71">
        <f>IFERROR(K14/$F$14,"")</f>
        <v>0.69791666666666663</v>
      </c>
      <c r="L15" s="71">
        <f t="shared" ref="L15:Q15" si="2">IFERROR(L14/$F$14,"")</f>
        <v>0.6875</v>
      </c>
      <c r="M15" s="71">
        <f t="shared" si="2"/>
        <v>0.73611111111111116</v>
      </c>
      <c r="N15" s="71">
        <f t="shared" si="2"/>
        <v>0.72916666666666663</v>
      </c>
      <c r="O15" s="71">
        <f t="shared" si="2"/>
        <v>0.71527777777777779</v>
      </c>
      <c r="P15" s="71">
        <f t="shared" si="2"/>
        <v>0.75347222222222221</v>
      </c>
      <c r="Q15" s="71">
        <f t="shared" si="2"/>
        <v>0.71875</v>
      </c>
      <c r="R15" s="71">
        <f t="shared" ref="R15:X15" si="3">IFERROR(R14/$F$14,"")</f>
        <v>0.69791666666666663</v>
      </c>
      <c r="S15" s="71">
        <f t="shared" si="3"/>
        <v>0.70833333333333337</v>
      </c>
      <c r="T15" s="71">
        <f t="shared" si="3"/>
        <v>0.73611111111111116</v>
      </c>
      <c r="U15" s="71">
        <f t="shared" si="3"/>
        <v>0.73611111111111116</v>
      </c>
      <c r="V15" s="71">
        <f t="shared" si="3"/>
        <v>0.77430555555555558</v>
      </c>
      <c r="W15" s="71">
        <f t="shared" si="3"/>
        <v>0</v>
      </c>
      <c r="X15" s="71">
        <f t="shared" si="3"/>
        <v>0.73611111111111116</v>
      </c>
      <c r="Y15" s="81">
        <f>AVERAGE(K15:U15)</f>
        <v>0.71969696969696961</v>
      </c>
    </row>
    <row r="16" spans="3:25" ht="16.149999999999999" customHeight="1" x14ac:dyDescent="0.3">
      <c r="C16" s="72"/>
      <c r="D16" s="88">
        <v>11</v>
      </c>
      <c r="E16" s="89"/>
      <c r="F16" s="73">
        <v>39</v>
      </c>
      <c r="G16" s="74">
        <f>IF(SUMIF(data_주일!$B$11:$B$303,$D16,data_주일!V$11:V$303)&gt;0,SUMIF(data_주일!$B$11:$B$303,$D16,data_주일!V$11:V$303),"")</f>
        <v>28</v>
      </c>
      <c r="H16" s="74">
        <f>IF(SUMIF(data_주일!$B$11:$B$303,$D16,data_주일!W$11:W$303)&gt;0,SUMIF(data_주일!$B$11:$B$303,$D16,data_주일!W$11:W$303),"")</f>
        <v>16</v>
      </c>
      <c r="I16" s="74">
        <f>IF(SUMIF(data_주일!$B$11:$B$303,$D16,data_주일!X$11:X$303)&gt;0,SUMIF(data_주일!$B$11:$B$303,$D16,data_주일!X$11:X$303),"")</f>
        <v>29</v>
      </c>
      <c r="J16" s="74">
        <f>IF(SUMIF(data_주일!$B$11:$B$303,$D16,data_주일!Y$11:Y$303)&gt;0,SUMIF(data_주일!$B$11:$B$303,$D16,data_주일!Y$11:Y$303),"")</f>
        <v>26</v>
      </c>
      <c r="K16" s="74">
        <f>IF(SUMIF(data_주일!$B$11:$B$303,$D16,data_주일!Z$11:Z$303)&gt;0,SUMIF(data_주일!$B$11:$B$303,$D16,data_주일!Z$11:Z$303),"")</f>
        <v>24</v>
      </c>
      <c r="L16" s="74">
        <f>IF(SUMIF(data_주일!$B$11:$B$303,$D16,data_주일!AA$11:AA$303)&gt;0,SUMIF(data_주일!$B$11:$B$303,$D16,data_주일!AA$11:AA$303),"")</f>
        <v>28</v>
      </c>
      <c r="M16" s="74">
        <f>IF(SUMIF(data_주일!$B$11:$B$303,$D16,data_주일!AB$11:AB$303)&gt;0,SUMIF(data_주일!$B$11:$B$303,$D16,data_주일!AB$11:AB$303),"")</f>
        <v>22</v>
      </c>
      <c r="N16" s="74">
        <f>IF(SUMIF(data_주일!$B$11:$B$303,$D16,data_주일!AC$11:AC$303)&gt;0,SUMIF(data_주일!$B$11:$B$303,$D16,data_주일!AC$11:AC$303),"")</f>
        <v>27</v>
      </c>
      <c r="O16" s="74">
        <f>IF(SUMIF(data_주일!$B$11:$B$303,$D16,data_주일!AD$11:AD$303)&gt;0,SUMIF(data_주일!$B$11:$B$303,$D16,data_주일!AD$11:AD$303),"")</f>
        <v>25</v>
      </c>
      <c r="P16" s="74">
        <f>IF(SUMIF(data_주일!$B11:$B303,$D16,data_주일!AE$11:AE$303)&gt;0,SUMIF(data_주일!$B11:$B303,$D16,data_주일!AE$11:AE$303),"")</f>
        <v>28</v>
      </c>
      <c r="Q16" s="74">
        <f>IF(SUMIF(data_주일!$B11:$B303,$D16,data_주일!AF$11:AF$303)&gt;0,SUMIF(data_주일!$B11:$B303,$D16,data_주일!AF$11:AF$303),"")</f>
        <v>24</v>
      </c>
      <c r="R16" s="74">
        <f>IF(SUMIF(data_주일!$B11:$B303,$D16,data_주일!AG$11:AG$303)&gt;0,SUMIF(data_주일!$B11:$B303,$D16,data_주일!AG$11:AG$303),"")</f>
        <v>23</v>
      </c>
      <c r="S16" s="74">
        <f>IF(SUMIF(data_주일!$B11:$B303,$D16,data_주일!AH$11:AH$303)&gt;0,SUMIF(data_주일!$B11:$B303,$D16,data_주일!AH$11:AH$303),"")</f>
        <v>26</v>
      </c>
      <c r="T16" s="74">
        <f>IF(SUMIF(data_주일!$B11:$B303,$D16,data_주일!AI$11:AI$303)&gt;0,SUMIF(data_주일!$B11:$B303,$D16,data_주일!AI$11:AI$303),"")</f>
        <v>23</v>
      </c>
      <c r="U16" s="74">
        <f>IF(SUMIF(data_주일!$B11:$B303,$D16,data_주일!AJ$11:AJ$303)&gt;0,SUMIF(data_주일!$B11:$B303,$D16,data_주일!AJ$11:AJ$303),"")</f>
        <v>26</v>
      </c>
      <c r="V16" s="74">
        <f>IF(SUMIF(data_주일!$B11:$B303,$D16,data_주일!AK$11:AK$303)&gt;0,SUMIF(data_주일!$B11:$B303,$D16,data_주일!AK$11:AK$303),"")</f>
        <v>28</v>
      </c>
      <c r="W16" s="74" t="str">
        <f>IF(SUMIF(data_주일!$B11:$B303,$D16,data_주일!AL$11:AL$303)&gt;0,SUMIF(data_주일!$B11:$B303,$D16,data_주일!AL$11:AL$303),"")</f>
        <v/>
      </c>
      <c r="X16" s="74">
        <f>IF(SUMIF(data_주일!$B11:$B303,$D16,data_주일!AM$11:AM$303)&gt;0,SUMIF(data_주일!$B11:$B303,$D16,data_주일!AM$11:AM$303),"")</f>
        <v>27</v>
      </c>
      <c r="Y16" s="82">
        <f>SUM(K16:X16)/(COUNTA(K16:X16)-COUNTIF(K16:X16,""))</f>
        <v>25.46153846153846</v>
      </c>
    </row>
    <row r="17" spans="3:25" ht="16.149999999999999" customHeight="1" x14ac:dyDescent="0.3">
      <c r="C17" s="72"/>
      <c r="D17" s="88">
        <v>12</v>
      </c>
      <c r="E17" s="89"/>
      <c r="F17" s="73">
        <v>27</v>
      </c>
      <c r="G17" s="74">
        <f>IF(SUMIF(data_주일!$B$11:$B$303,$D17,data_주일!V$11:V$303)&gt;0,SUMIF(data_주일!$B$11:$B$303,$D17,data_주일!V$11:V$303),"")</f>
        <v>22</v>
      </c>
      <c r="H17" s="74">
        <f>IF(SUMIF(data_주일!$B$11:$B$303,$D17,data_주일!W$11:W$303)&gt;0,SUMIF(data_주일!$B$11:$B$303,$D17,data_주일!W$11:W$303),"")</f>
        <v>24</v>
      </c>
      <c r="I17" s="74">
        <f>IF(SUMIF(data_주일!$B$11:$B$303,$D17,data_주일!X$11:X$303)&gt;0,SUMIF(data_주일!$B$11:$B$303,$D17,data_주일!X$11:X$303),"")</f>
        <v>23</v>
      </c>
      <c r="J17" s="74">
        <f>IF(SUMIF(data_주일!$B$11:$B$303,$D17,data_주일!Y$11:Y$303)&gt;0,SUMIF(data_주일!$B$11:$B$303,$D17,data_주일!Y$11:Y$303),"")</f>
        <v>26</v>
      </c>
      <c r="K17" s="74">
        <f>IF(SUMIF(data_주일!$B$11:$B$303,$D17,data_주일!Z$11:Z$303)&gt;0,SUMIF(data_주일!$B$11:$B$303,$D17,data_주일!Z$11:Z$303),"")</f>
        <v>27</v>
      </c>
      <c r="L17" s="74">
        <f>IF(SUMIF(data_주일!$B$11:$B$303,$D17,data_주일!AA$11:AA$303)&gt;0,SUMIF(data_주일!$B$11:$B$303,$D17,data_주일!AA$11:AA$303),"")</f>
        <v>24</v>
      </c>
      <c r="M17" s="74">
        <f>IF(SUMIF(data_주일!$B$11:$B$303,$D17,data_주일!AB$11:AB$303)&gt;0,SUMIF(data_주일!$B$11:$B$303,$D17,data_주일!AB$11:AB$303),"")</f>
        <v>26</v>
      </c>
      <c r="N17" s="74">
        <f>IF(SUMIF(data_주일!$B$11:$B$303,$D17,data_주일!AC$11:AC$303)&gt;0,SUMIF(data_주일!$B$11:$B$303,$D17,data_주일!AC$11:AC$303),"")</f>
        <v>26</v>
      </c>
      <c r="O17" s="74">
        <f>IF(SUMIF(data_주일!$B$11:$B$303,$D17,data_주일!AD$11:AD$303)&gt;0,SUMIF(data_주일!$B$11:$B$303,$D17,data_주일!AD$11:AD$303),"")</f>
        <v>23</v>
      </c>
      <c r="P17" s="74">
        <f>IF(SUMIF(data_주일!$B12:$B304,$D17,data_주일!AE$11:AE$303)&gt;0,SUMIF(data_주일!$B12:$B304,$D17,data_주일!AE$11:AE$303),"")</f>
        <v>26</v>
      </c>
      <c r="Q17" s="74">
        <f>IF(SUMIF(data_주일!$B12:$B304,$D17,data_주일!AF$11:AF$303)&gt;0,SUMIF(data_주일!$B12:$B304,$D17,data_주일!AF$11:AF$303),"")</f>
        <v>28</v>
      </c>
      <c r="R17" s="74">
        <f>IF(SUMIF(data_주일!$B12:$B304,$D17,data_주일!AG$11:AG$303)&gt;0,SUMIF(data_주일!$B12:$B304,$D17,data_주일!AG$11:AG$303),"")</f>
        <v>25</v>
      </c>
      <c r="S17" s="74">
        <f>IF(SUMIF(data_주일!$B12:$B304,$D17,data_주일!AH$11:AH$303)&gt;0,SUMIF(data_주일!$B12:$B304,$D17,data_주일!AH$11:AH$303),"")</f>
        <v>26</v>
      </c>
      <c r="T17" s="74">
        <f>IF(SUMIF(data_주일!$B12:$B304,$D17,data_주일!AI$11:AI$303)&gt;0,SUMIF(data_주일!$B12:$B304,$D17,data_주일!AI$11:AI$303),"")</f>
        <v>26</v>
      </c>
      <c r="U17" s="74">
        <f>IF(SUMIF(data_주일!$B12:$B304,$D17,data_주일!AJ$11:AJ$303)&gt;0,SUMIF(data_주일!$B12:$B304,$D17,data_주일!AJ$11:AJ$303),"")</f>
        <v>27</v>
      </c>
      <c r="V17" s="74">
        <f>IF(SUMIF(data_주일!$B12:$B304,$D17,data_주일!AK$11:AK$303)&gt;0,SUMIF(data_주일!$B12:$B304,$D17,data_주일!AK$11:AK$303),"")</f>
        <v>27</v>
      </c>
      <c r="W17" s="74" t="str">
        <f>IF(SUMIF(data_주일!$B12:$B304,$D17,data_주일!AL$11:AL$303)&gt;0,SUMIF(data_주일!$B12:$B304,$D17,data_주일!AL$11:AL$303),"")</f>
        <v/>
      </c>
      <c r="X17" s="74">
        <f>IF(SUMIF(data_주일!$B12:$B304,$D17,data_주일!AM$11:AM$303)&gt;0,SUMIF(data_주일!$B12:$B304,$D17,data_주일!AM$11:AM$303),"")</f>
        <v>25</v>
      </c>
      <c r="Y17" s="82">
        <f t="shared" ref="Y17:Y28" si="4">SUM(K17:X17)/(COUNTA(K17:X17)-COUNTIF(K17:X17,""))</f>
        <v>25.846153846153847</v>
      </c>
    </row>
    <row r="18" spans="3:25" ht="16.149999999999999" customHeight="1" x14ac:dyDescent="0.3">
      <c r="C18" s="72"/>
      <c r="D18" s="88">
        <v>21</v>
      </c>
      <c r="E18" s="89"/>
      <c r="F18" s="73">
        <v>30</v>
      </c>
      <c r="G18" s="74">
        <f>IF(SUMIF(data_주일!$B$11:$B$303,$D18,data_주일!V$11:V$303)&gt;0,SUMIF(data_주일!$B$11:$B$303,$D18,data_주일!V$11:V$303),"")</f>
        <v>23</v>
      </c>
      <c r="H18" s="74">
        <f>IF(SUMIF(data_주일!$B$11:$B$303,$D18,data_주일!W$11:W$303)&gt;0,SUMIF(data_주일!$B$11:$B$303,$D18,data_주일!W$11:W$303),"")</f>
        <v>23</v>
      </c>
      <c r="I18" s="74">
        <f>IF(SUMIF(data_주일!$B$11:$B$303,$D18,data_주일!X$11:X$303)&gt;0,SUMIF(data_주일!$B$11:$B$303,$D18,data_주일!X$11:X$303),"")</f>
        <v>26</v>
      </c>
      <c r="J18" s="74">
        <f>IF(SUMIF(data_주일!$B$11:$B$303,$D18,data_주일!Y$11:Y$303)&gt;0,SUMIF(data_주일!$B$11:$B$303,$D18,data_주일!Y$11:Y$303),"")</f>
        <v>22</v>
      </c>
      <c r="K18" s="74">
        <f>IF(SUMIF(data_주일!$B$11:$B$303,$D18,data_주일!Z$11:Z$303)&gt;0,SUMIF(data_주일!$B$11:$B$303,$D18,data_주일!Z$11:Z$303),"")</f>
        <v>17</v>
      </c>
      <c r="L18" s="74">
        <f>IF(SUMIF(data_주일!$B$11:$B$303,$D18,data_주일!AA$11:AA$303)&gt;0,SUMIF(data_주일!$B$11:$B$303,$D18,data_주일!AA$11:AA$303),"")</f>
        <v>20</v>
      </c>
      <c r="M18" s="74">
        <f>IF(SUMIF(data_주일!$B$11:$B$303,$D18,data_주일!AB$11:AB$303)&gt;0,SUMIF(data_주일!$B$11:$B$303,$D18,data_주일!AB$11:AB$303),"")</f>
        <v>23</v>
      </c>
      <c r="N18" s="74">
        <f>IF(SUMIF(data_주일!$B$11:$B$303,$D18,data_주일!AC$11:AC$303)&gt;0,SUMIF(data_주일!$B$11:$B$303,$D18,data_주일!AC$11:AC$303),"")</f>
        <v>19</v>
      </c>
      <c r="O18" s="74">
        <f>IF(SUMIF(data_주일!$B$11:$B$303,$D18,data_주일!AD$11:AD$303)&gt;0,SUMIF(data_주일!$B$11:$B$303,$D18,data_주일!AD$11:AD$303),"")</f>
        <v>22</v>
      </c>
      <c r="P18" s="74">
        <f>IF(SUMIF(data_주일!$B13:$B305,$D18,data_주일!AE$11:AE$303)&gt;0,SUMIF(data_주일!$B13:$B305,$D18,data_주일!AE$11:AE$303),"")</f>
        <v>23</v>
      </c>
      <c r="Q18" s="74">
        <f>IF(SUMIF(data_주일!$B13:$B305,$D18,data_주일!AF$11:AF$303)&gt;0,SUMIF(data_주일!$B13:$B305,$D18,data_주일!AF$11:AF$303),"")</f>
        <v>19</v>
      </c>
      <c r="R18" s="74">
        <f>IF(SUMIF(data_주일!$B13:$B305,$D18,data_주일!AG$11:AG$303)&gt;0,SUMIF(data_주일!$B13:$B305,$D18,data_주일!AG$11:AG$303),"")</f>
        <v>20</v>
      </c>
      <c r="S18" s="74">
        <f>IF(SUMIF(data_주일!$B13:$B305,$D18,data_주일!AH$11:AH$303)&gt;0,SUMIF(data_주일!$B13:$B305,$D18,data_주일!AH$11:AH$303),"")</f>
        <v>23</v>
      </c>
      <c r="T18" s="74">
        <f>IF(SUMIF(data_주일!$B13:$B305,$D18,data_주일!AI$11:AI$303)&gt;0,SUMIF(data_주일!$B13:$B305,$D18,data_주일!AI$11:AI$303),"")</f>
        <v>24</v>
      </c>
      <c r="U18" s="74">
        <f>IF(SUMIF(data_주일!$B13:$B305,$D18,data_주일!AJ$11:AJ$303)&gt;0,SUMIF(data_주일!$B13:$B305,$D18,data_주일!AJ$11:AJ$303),"")</f>
        <v>23</v>
      </c>
      <c r="V18" s="74">
        <f>IF(SUMIF(data_주일!$B13:$B305,$D18,data_주일!AK$11:AK$303)&gt;0,SUMIF(data_주일!$B13:$B305,$D18,data_주일!AK$11:AK$303),"")</f>
        <v>26</v>
      </c>
      <c r="W18" s="74" t="str">
        <f>IF(SUMIF(data_주일!$B13:$B305,$D18,data_주일!AL$11:AL$303)&gt;0,SUMIF(data_주일!$B13:$B305,$D18,data_주일!AL$11:AL$303),"")</f>
        <v/>
      </c>
      <c r="X18" s="74">
        <f>IF(SUMIF(data_주일!$B13:$B305,$D18,data_주일!AM$11:AM$303)&gt;0,SUMIF(data_주일!$B13:$B305,$D18,data_주일!AM$11:AM$303),"")</f>
        <v>26</v>
      </c>
      <c r="Y18" s="82">
        <f t="shared" si="4"/>
        <v>21.923076923076923</v>
      </c>
    </row>
    <row r="19" spans="3:25" ht="16.149999999999999" customHeight="1" x14ac:dyDescent="0.3">
      <c r="C19" s="72"/>
      <c r="D19" s="88">
        <v>22</v>
      </c>
      <c r="E19" s="89"/>
      <c r="F19" s="73">
        <v>23</v>
      </c>
      <c r="G19" s="74">
        <f>IF(SUMIF(data_주일!$B$11:$B$303,$D19,data_주일!V$11:V$303)&gt;0,SUMIF(data_주일!$B$11:$B$303,$D19,data_주일!V$11:V$303),"")</f>
        <v>15</v>
      </c>
      <c r="H19" s="74">
        <f>IF(SUMIF(data_주일!$B$11:$B$303,$D19,data_주일!W$11:W$303)&gt;0,SUMIF(data_주일!$B$11:$B$303,$D19,data_주일!W$11:W$303),"")</f>
        <v>19</v>
      </c>
      <c r="I19" s="74">
        <f>IF(SUMIF(data_주일!$B$11:$B$303,$D19,data_주일!X$11:X$303)&gt;0,SUMIF(data_주일!$B$11:$B$303,$D19,data_주일!X$11:X$303),"")</f>
        <v>19</v>
      </c>
      <c r="J19" s="74">
        <f>IF(SUMIF(data_주일!$B$11:$B$303,$D19,data_주일!Y$11:Y$303)&gt;0,SUMIF(data_주일!$B$11:$B$303,$D19,data_주일!Y$11:Y$303),"")</f>
        <v>14</v>
      </c>
      <c r="K19" s="74">
        <f>IF(SUMIF(data_주일!$B$11:$B$303,$D19,data_주일!Z$11:Z$303)&gt;0,SUMIF(data_주일!$B$11:$B$303,$D19,data_주일!Z$11:Z$303),"")</f>
        <v>18</v>
      </c>
      <c r="L19" s="74">
        <f>IF(SUMIF(data_주일!$B$11:$B$303,$D19,data_주일!AA$11:AA$303)&gt;0,SUMIF(data_주일!$B$11:$B$303,$D19,data_주일!AA$11:AA$303),"")</f>
        <v>15</v>
      </c>
      <c r="M19" s="74">
        <f>IF(SUMIF(data_주일!$B$11:$B$303,$D19,data_주일!AB$11:AB$303)&gt;0,SUMIF(data_주일!$B$11:$B$303,$D19,data_주일!AB$11:AB$303),"")</f>
        <v>17</v>
      </c>
      <c r="N19" s="74">
        <f>IF(SUMIF(data_주일!$B$11:$B$303,$D19,data_주일!AC$11:AC$303)&gt;0,SUMIF(data_주일!$B$11:$B$303,$D19,data_주일!AC$11:AC$303),"")</f>
        <v>17</v>
      </c>
      <c r="O19" s="74">
        <f>IF(SUMIF(data_주일!$B$11:$B$303,$D19,data_주일!AD$11:AD$303)&gt;0,SUMIF(data_주일!$B$11:$B$303,$D19,data_주일!AD$11:AD$303),"")</f>
        <v>19</v>
      </c>
      <c r="P19" s="74">
        <f>IF(SUMIF(data_주일!$B14:$B306,$D19,data_주일!AE$11:AE$303)&gt;0,SUMIF(data_주일!$B14:$B306,$D19,data_주일!AE$11:AE$303),"")</f>
        <v>15</v>
      </c>
      <c r="Q19" s="74">
        <f>IF(SUMIF(data_주일!$B14:$B306,$D19,data_주일!AF$11:AF$303)&gt;0,SUMIF(data_주일!$B14:$B306,$D19,data_주일!AF$11:AF$303),"")</f>
        <v>14</v>
      </c>
      <c r="R19" s="74">
        <f>IF(SUMIF(data_주일!$B14:$B306,$D19,data_주일!AG$11:AG$303)&gt;0,SUMIF(data_주일!$B14:$B306,$D19,data_주일!AG$11:AG$303),"")</f>
        <v>16</v>
      </c>
      <c r="S19" s="74">
        <f>IF(SUMIF(data_주일!$B14:$B306,$D19,data_주일!AH$11:AH$303)&gt;0,SUMIF(data_주일!$B14:$B306,$D19,data_주일!AH$11:AH$303),"")</f>
        <v>16</v>
      </c>
      <c r="T19" s="74">
        <f>IF(SUMIF(data_주일!$B14:$B306,$D19,data_주일!AI$11:AI$303)&gt;0,SUMIF(data_주일!$B14:$B306,$D19,data_주일!AI$11:AI$303),"")</f>
        <v>16</v>
      </c>
      <c r="U19" s="74">
        <f>IF(SUMIF(data_주일!$B14:$B306,$D19,data_주일!AJ$11:AJ$303)&gt;0,SUMIF(data_주일!$B14:$B306,$D19,data_주일!AJ$11:AJ$303),"")</f>
        <v>19</v>
      </c>
      <c r="V19" s="74">
        <f>IF(SUMIF(data_주일!$B14:$B306,$D19,data_주일!AK$11:AK$303)&gt;0,SUMIF(data_주일!$B14:$B306,$D19,data_주일!AK$11:AK$303),"")</f>
        <v>16</v>
      </c>
      <c r="W19" s="74" t="str">
        <f>IF(SUMIF(data_주일!$B14:$B306,$D19,data_주일!AL$11:AL$303)&gt;0,SUMIF(data_주일!$B14:$B306,$D19,data_주일!AL$11:AL$303),"")</f>
        <v/>
      </c>
      <c r="X19" s="74">
        <f>IF(SUMIF(data_주일!$B14:$B306,$D19,data_주일!AM$11:AM$303)&gt;0,SUMIF(data_주일!$B14:$B306,$D19,data_주일!AM$11:AM$303),"")</f>
        <v>16</v>
      </c>
      <c r="Y19" s="82">
        <f t="shared" si="4"/>
        <v>16.46153846153846</v>
      </c>
    </row>
    <row r="20" spans="3:25" ht="16.149999999999999" customHeight="1" x14ac:dyDescent="0.3">
      <c r="C20" s="72"/>
      <c r="D20" s="88">
        <v>31</v>
      </c>
      <c r="E20" s="89"/>
      <c r="F20" s="73">
        <v>35</v>
      </c>
      <c r="G20" s="74">
        <f>IF(SUMIF(data_주일!$B$11:$B$303,$D20,data_주일!V$11:V$303)&gt;0,SUMIF(data_주일!$B$11:$B$303,$D20,data_주일!V$11:V$303),"")</f>
        <v>21</v>
      </c>
      <c r="H20" s="74">
        <f>IF(SUMIF(data_주일!$B$11:$B$303,$D20,data_주일!W$11:W$303)&gt;0,SUMIF(data_주일!$B$11:$B$303,$D20,data_주일!W$11:W$303),"")</f>
        <v>25</v>
      </c>
      <c r="I20" s="74">
        <f>IF(SUMIF(data_주일!$B$11:$B$303,$D20,data_주일!X$11:X$303)&gt;0,SUMIF(data_주일!$B$11:$B$303,$D20,data_주일!X$11:X$303),"")</f>
        <v>25</v>
      </c>
      <c r="J20" s="74">
        <f>IF(SUMIF(data_주일!$B$11:$B$303,$D20,data_주일!Y$11:Y$303)&gt;0,SUMIF(data_주일!$B$11:$B$303,$D20,data_주일!Y$11:Y$303),"")</f>
        <v>26</v>
      </c>
      <c r="K20" s="74">
        <f>IF(SUMIF(data_주일!$B$11:$B$303,$D20,data_주일!Z$11:Z$303)&gt;0,SUMIF(data_주일!$B$11:$B$303,$D20,data_주일!Z$11:Z$303),"")</f>
        <v>20</v>
      </c>
      <c r="L20" s="74">
        <f>IF(SUMIF(data_주일!$B$11:$B$303,$D20,data_주일!AA$11:AA$303)&gt;0,SUMIF(data_주일!$B$11:$B$303,$D20,data_주일!AA$11:AA$303),"")</f>
        <v>20</v>
      </c>
      <c r="M20" s="74">
        <f>IF(SUMIF(data_주일!$B$11:$B$303,$D20,data_주일!AB$11:AB$303)&gt;0,SUMIF(data_주일!$B$11:$B$303,$D20,data_주일!AB$11:AB$303),"")</f>
        <v>22</v>
      </c>
      <c r="N20" s="74">
        <f>IF(SUMIF(data_주일!$B$11:$B$303,$D20,data_주일!AC$11:AC$303)&gt;0,SUMIF(data_주일!$B$11:$B$303,$D20,data_주일!AC$11:AC$303),"")</f>
        <v>22</v>
      </c>
      <c r="O20" s="74">
        <f>IF(SUMIF(data_주일!$B$11:$B$303,$D20,data_주일!AD$11:AD$303)&gt;0,SUMIF(data_주일!$B$11:$B$303,$D20,data_주일!AD$11:AD$303),"")</f>
        <v>27</v>
      </c>
      <c r="P20" s="74">
        <f>IF(SUMIF(data_주일!$B15:$B307,$D20,data_주일!AE$11:AE$303)&gt;0,SUMIF(data_주일!$B15:$B307,$D20,data_주일!AE$11:AE$303),"")</f>
        <v>26</v>
      </c>
      <c r="Q20" s="74">
        <f>IF(SUMIF(data_주일!$B15:$B307,$D20,data_주일!AF$11:AF$303)&gt;0,SUMIF(data_주일!$B15:$B307,$D20,data_주일!AF$11:AF$303),"")</f>
        <v>23</v>
      </c>
      <c r="R20" s="74">
        <f>IF(SUMIF(data_주일!$B15:$B307,$D20,data_주일!AG$11:AG$303)&gt;0,SUMIF(data_주일!$B15:$B307,$D20,data_주일!AG$11:AG$303),"")</f>
        <v>24</v>
      </c>
      <c r="S20" s="74">
        <f>IF(SUMIF(data_주일!$B15:$B307,$D20,data_주일!AH$11:AH$303)&gt;0,SUMIF(data_주일!$B15:$B307,$D20,data_주일!AH$11:AH$303),"")</f>
        <v>23</v>
      </c>
      <c r="T20" s="74">
        <f>IF(SUMIF(data_주일!$B15:$B307,$D20,data_주일!AI$11:AI$303)&gt;0,SUMIF(data_주일!$B15:$B307,$D20,data_주일!AI$11:AI$303),"")</f>
        <v>25</v>
      </c>
      <c r="U20" s="74">
        <f>IF(SUMIF(data_주일!$B15:$B307,$D20,data_주일!AJ$11:AJ$303)&gt;0,SUMIF(data_주일!$B15:$B307,$D20,data_주일!AJ$11:AJ$303),"")</f>
        <v>23</v>
      </c>
      <c r="V20" s="74">
        <f>IF(SUMIF(data_주일!$B15:$B307,$D20,data_주일!AK$11:AK$303)&gt;0,SUMIF(data_주일!$B15:$B307,$D20,data_주일!AK$11:AK$303),"")</f>
        <v>25</v>
      </c>
      <c r="W20" s="74" t="str">
        <f>IF(SUMIF(data_주일!$B15:$B307,$D20,data_주일!AL$11:AL$303)&gt;0,SUMIF(data_주일!$B15:$B307,$D20,data_주일!AL$11:AL$303),"")</f>
        <v/>
      </c>
      <c r="X20" s="74">
        <f>IF(SUMIF(data_주일!$B15:$B307,$D20,data_주일!AM$11:AM$303)&gt;0,SUMIF(data_주일!$B15:$B307,$D20,data_주일!AM$11:AM$303),"")</f>
        <v>25</v>
      </c>
      <c r="Y20" s="82">
        <f t="shared" si="4"/>
        <v>23.46153846153846</v>
      </c>
    </row>
    <row r="21" spans="3:25" ht="16.149999999999999" customHeight="1" x14ac:dyDescent="0.3">
      <c r="C21" s="72"/>
      <c r="D21" s="88">
        <v>32</v>
      </c>
      <c r="E21" s="89"/>
      <c r="F21" s="73">
        <v>28</v>
      </c>
      <c r="G21" s="74">
        <f>IF(SUMIF(data_주일!$B$11:$B$303,$D21,data_주일!V$11:V$303)&gt;0,SUMIF(data_주일!$B$11:$B$303,$D21,data_주일!V$11:V$303),"")</f>
        <v>23</v>
      </c>
      <c r="H21" s="74">
        <f>IF(SUMIF(data_주일!$B$11:$B$303,$D21,data_주일!W$11:W$303)&gt;0,SUMIF(data_주일!$B$11:$B$303,$D21,data_주일!W$11:W$303),"")</f>
        <v>24</v>
      </c>
      <c r="I21" s="74">
        <f>IF(SUMIF(data_주일!$B$11:$B$303,$D21,data_주일!X$11:X$303)&gt;0,SUMIF(data_주일!$B$11:$B$303,$D21,data_주일!X$11:X$303),"")</f>
        <v>24</v>
      </c>
      <c r="J21" s="74">
        <f>IF(SUMIF(data_주일!$B$11:$B$303,$D21,data_주일!Y$11:Y$303)&gt;0,SUMIF(data_주일!$B$11:$B$303,$D21,data_주일!Y$11:Y$303),"")</f>
        <v>23</v>
      </c>
      <c r="K21" s="74">
        <f>IF(SUMIF(data_주일!$B$11:$B$303,$D21,data_주일!Z$11:Z$303)&gt;0,SUMIF(data_주일!$B$11:$B$303,$D21,data_주일!Z$11:Z$303),"")</f>
        <v>21</v>
      </c>
      <c r="L21" s="74">
        <f>IF(SUMIF(data_주일!$B$11:$B$303,$D21,data_주일!AA$11:AA$303)&gt;0,SUMIF(data_주일!$B$11:$B$303,$D21,data_주일!AA$11:AA$303),"")</f>
        <v>22</v>
      </c>
      <c r="M21" s="74">
        <f>IF(SUMIF(data_주일!$B$11:$B$303,$D21,data_주일!AB$11:AB$303)&gt;0,SUMIF(data_주일!$B$11:$B$303,$D21,data_주일!AB$11:AB$303),"")</f>
        <v>24</v>
      </c>
      <c r="N21" s="74">
        <f>IF(SUMIF(data_주일!$B$11:$B$303,$D21,data_주일!AC$11:AC$303)&gt;0,SUMIF(data_주일!$B$11:$B$303,$D21,data_주일!AC$11:AC$303),"")</f>
        <v>25</v>
      </c>
      <c r="O21" s="74">
        <f>IF(SUMIF(data_주일!$B$11:$B$303,$D21,data_주일!AD$11:AD$303)&gt;0,SUMIF(data_주일!$B$11:$B$303,$D21,data_주일!AD$11:AD$303),"")</f>
        <v>21</v>
      </c>
      <c r="P21" s="74">
        <f>IF(SUMIF(data_주일!$B16:$B308,$D21,data_주일!AE$11:AE$303)&gt;0,SUMIF(data_주일!$B16:$B308,$D21,data_주일!AE$11:AE$303),"")</f>
        <v>25</v>
      </c>
      <c r="Q21" s="74">
        <f>IF(SUMIF(data_주일!$B16:$B308,$D21,data_주일!AF$11:AF$303)&gt;0,SUMIF(data_주일!$B16:$B308,$D21,data_주일!AF$11:AF$303),"")</f>
        <v>21</v>
      </c>
      <c r="R21" s="74">
        <f>IF(SUMIF(data_주일!$B16:$B308,$D21,data_주일!AG$11:AG$303)&gt;0,SUMIF(data_주일!$B16:$B308,$D21,data_주일!AG$11:AG$303),"")</f>
        <v>23</v>
      </c>
      <c r="S21" s="74">
        <f>IF(SUMIF(data_주일!$B16:$B308,$D21,data_주일!AH$11:AH$303)&gt;0,SUMIF(data_주일!$B16:$B308,$D21,data_주일!AH$11:AH$303),"")</f>
        <v>23</v>
      </c>
      <c r="T21" s="74">
        <f>IF(SUMIF(data_주일!$B16:$B308,$D21,data_주일!AI$11:AI$303)&gt;0,SUMIF(data_주일!$B16:$B308,$D21,data_주일!AI$11:AI$303),"")</f>
        <v>22</v>
      </c>
      <c r="U21" s="74">
        <f>IF(SUMIF(data_주일!$B16:$B308,$D21,data_주일!AJ$11:AJ$303)&gt;0,SUMIF(data_주일!$B16:$B308,$D21,data_주일!AJ$11:AJ$303),"")</f>
        <v>24</v>
      </c>
      <c r="V21" s="74">
        <f>IF(SUMIF(data_주일!$B16:$B308,$D21,data_주일!AK$11:AK$303)&gt;0,SUMIF(data_주일!$B16:$B308,$D21,data_주일!AK$11:AK$303),"")</f>
        <v>25</v>
      </c>
      <c r="W21" s="74" t="str">
        <f>IF(SUMIF(data_주일!$B16:$B308,$D21,data_주일!AL$11:AL$303)&gt;0,SUMIF(data_주일!$B16:$B308,$D21,data_주일!AL$11:AL$303),"")</f>
        <v/>
      </c>
      <c r="X21" s="74">
        <f>IF(SUMIF(data_주일!$B16:$B308,$D21,data_주일!AM$11:AM$303)&gt;0,SUMIF(data_주일!$B16:$B308,$D21,data_주일!AM$11:AM$303),"")</f>
        <v>22</v>
      </c>
      <c r="Y21" s="82">
        <f t="shared" si="4"/>
        <v>22.923076923076923</v>
      </c>
    </row>
    <row r="22" spans="3:25" ht="16.149999999999999" customHeight="1" x14ac:dyDescent="0.3">
      <c r="C22" s="72"/>
      <c r="D22" s="88">
        <v>33</v>
      </c>
      <c r="E22" s="89"/>
      <c r="F22" s="73">
        <v>12</v>
      </c>
      <c r="G22" s="74">
        <f>IF(SUMIF(data_주일!$B$11:$B$303,$D22,data_주일!V$11:V$303)&gt;0,SUMIF(data_주일!$B$11:$B$303,$D22,data_주일!V$11:V$303),"")</f>
        <v>1</v>
      </c>
      <c r="H22" s="74">
        <f>IF(SUMIF(data_주일!$B$11:$B$303,$D22,data_주일!W$11:W$303)&gt;0,SUMIF(data_주일!$B$11:$B$303,$D22,data_주일!W$11:W$303),"")</f>
        <v>5</v>
      </c>
      <c r="I22" s="74">
        <f>IF(SUMIF(data_주일!$B$11:$B$303,$D22,data_주일!X$11:X$303)&gt;0,SUMIF(data_주일!$B$11:$B$303,$D22,data_주일!X$11:X$303),"")</f>
        <v>6</v>
      </c>
      <c r="J22" s="74">
        <f>IF(SUMIF(data_주일!$B$11:$B$303,$D22,data_주일!Y$11:Y$303)&gt;0,SUMIF(data_주일!$B$11:$B$303,$D22,data_주일!Y$11:Y$303),"")</f>
        <v>6</v>
      </c>
      <c r="K22" s="74">
        <f>IF(SUMIF(data_주일!$B$11:$B$303,$D22,data_주일!Z$11:Z$303)&gt;0,SUMIF(data_주일!$B$11:$B$303,$D22,data_주일!Z$11:Z$303),"")</f>
        <v>2</v>
      </c>
      <c r="L22" s="74" t="str">
        <f>IF(SUMIF(data_주일!$B$11:$B$303,$D22,data_주일!AA$11:AA$303)&gt;0,SUMIF(data_주일!$B$11:$B$303,$D22,data_주일!AA$11:AA$303),"")</f>
        <v/>
      </c>
      <c r="M22" s="74">
        <f>IF(SUMIF(data_주일!$B$11:$B$303,$D22,data_주일!AB$11:AB$303)&gt;0,SUMIF(data_주일!$B$11:$B$303,$D22,data_주일!AB$11:AB$303),"")</f>
        <v>5</v>
      </c>
      <c r="N22" s="74">
        <f>IF(SUMIF(data_주일!$B$11:$B$303,$D22,data_주일!AC$11:AC$303)&gt;0,SUMIF(data_주일!$B$11:$B$303,$D22,data_주일!AC$11:AC$303),"")</f>
        <v>4</v>
      </c>
      <c r="O22" s="74">
        <f>IF(SUMIF(data_주일!$B$11:$B$303,$D22,data_주일!AD$11:AD$303)&gt;0,SUMIF(data_주일!$B$11:$B$303,$D22,data_주일!AD$11:AD$303),"")</f>
        <v>6</v>
      </c>
      <c r="P22" s="74">
        <f>IF(SUMIF(data_주일!$B17:$B309,$D22,data_주일!AE$11:AE$303)&gt;0,SUMIF(data_주일!$B17:$B309,$D22,data_주일!AE$11:AE$303),"")</f>
        <v>8</v>
      </c>
      <c r="Q22" s="74">
        <f>IF(SUMIF(data_주일!$B17:$B309,$D22,data_주일!AF$11:AF$303)&gt;0,SUMIF(data_주일!$B17:$B309,$D22,data_주일!AF$11:AF$303),"")</f>
        <v>10</v>
      </c>
      <c r="R22" s="74">
        <f>IF(SUMIF(data_주일!$B17:$B309,$D22,data_주일!AG$11:AG$303)&gt;0,SUMIF(data_주일!$B17:$B309,$D22,data_주일!AG$11:AG$303),"")</f>
        <v>7</v>
      </c>
      <c r="S22" s="74">
        <f>IF(SUMIF(data_주일!$B17:$B309,$D22,data_주일!AH$11:AH$303)&gt;0,SUMIF(data_주일!$B17:$B309,$D22,data_주일!AH$11:AH$303),"")</f>
        <v>7</v>
      </c>
      <c r="T22" s="74">
        <f>IF(SUMIF(data_주일!$B17:$B309,$D22,data_주일!AI$11:AI$303)&gt;0,SUMIF(data_주일!$B17:$B309,$D22,data_주일!AI$11:AI$303),"")</f>
        <v>5</v>
      </c>
      <c r="U22" s="74">
        <f>IF(SUMIF(data_주일!$B17:$B309,$D22,data_주일!AJ$11:AJ$303)&gt;0,SUMIF(data_주일!$B17:$B309,$D22,data_주일!AJ$11:AJ$303),"")</f>
        <v>9</v>
      </c>
      <c r="V22" s="74">
        <f>IF(SUMIF(data_주일!$B17:$B309,$D22,data_주일!AK$11:AK$303)&gt;0,SUMIF(data_주일!$B17:$B309,$D22,data_주일!AK$11:AK$303),"")</f>
        <v>7</v>
      </c>
      <c r="W22" s="74" t="str">
        <f>IF(SUMIF(data_주일!$B17:$B309,$D22,data_주일!AL$11:AL$303)&gt;0,SUMIF(data_주일!$B17:$B309,$D22,data_주일!AL$11:AL$303),"")</f>
        <v/>
      </c>
      <c r="X22" s="74">
        <f>IF(SUMIF(data_주일!$B17:$B309,$D22,data_주일!AM$11:AM$303)&gt;0,SUMIF(data_주일!$B17:$B309,$D22,data_주일!AM$11:AM$303),"")</f>
        <v>7</v>
      </c>
      <c r="Y22" s="82">
        <f t="shared" si="4"/>
        <v>6.416666666666667</v>
      </c>
    </row>
    <row r="23" spans="3:25" ht="16.149999999999999" customHeight="1" x14ac:dyDescent="0.3">
      <c r="C23" s="72"/>
      <c r="D23" s="88">
        <v>41</v>
      </c>
      <c r="E23" s="89"/>
      <c r="F23" s="73">
        <v>30</v>
      </c>
      <c r="G23" s="74">
        <f>IF(SUMIF(data_주일!$B$11:$B$303,$D23,data_주일!V$11:V$303)&gt;0,SUMIF(data_주일!$B$11:$B$303,$D23,data_주일!V$11:V$303),"")</f>
        <v>23</v>
      </c>
      <c r="H23" s="74">
        <f>IF(SUMIF(data_주일!$B$11:$B$303,$D23,data_주일!W$11:W$303)&gt;0,SUMIF(data_주일!$B$11:$B$303,$D23,data_주일!W$11:W$303),"")</f>
        <v>21</v>
      </c>
      <c r="I23" s="74">
        <f>IF(SUMIF(data_주일!$B$11:$B$303,$D23,data_주일!X$11:X$303)&gt;0,SUMIF(data_주일!$B$11:$B$303,$D23,data_주일!X$11:X$303),"")</f>
        <v>20</v>
      </c>
      <c r="J23" s="74">
        <f>IF(SUMIF(data_주일!$B$11:$B$303,$D23,data_주일!Y$11:Y$303)&gt;0,SUMIF(data_주일!$B$11:$B$303,$D23,data_주일!Y$11:Y$303),"")</f>
        <v>24</v>
      </c>
      <c r="K23" s="74">
        <f>IF(SUMIF(data_주일!$B$11:$B$303,$D23,data_주일!Z$11:Z$303)&gt;0,SUMIF(data_주일!$B$11:$B$303,$D23,data_주일!Z$11:Z$303),"")</f>
        <v>24</v>
      </c>
      <c r="L23" s="74">
        <f>IF(SUMIF(data_주일!$B$11:$B$303,$D23,data_주일!AA$11:AA$303)&gt;0,SUMIF(data_주일!$B$11:$B$303,$D23,data_주일!AA$11:AA$303),"")</f>
        <v>23</v>
      </c>
      <c r="M23" s="74">
        <f>IF(SUMIF(data_주일!$B$11:$B$303,$D23,data_주일!AB$11:AB$303)&gt;0,SUMIF(data_주일!$B$11:$B$303,$D23,data_주일!AB$11:AB$303),"")</f>
        <v>22</v>
      </c>
      <c r="N23" s="74">
        <f>IF(SUMIF(data_주일!$B$11:$B$303,$D23,data_주일!AC$11:AC$303)&gt;0,SUMIF(data_주일!$B$11:$B$303,$D23,data_주일!AC$11:AC$303),"")</f>
        <v>22</v>
      </c>
      <c r="O23" s="74">
        <f>IF(SUMIF(data_주일!$B$11:$B$303,$D23,data_주일!AD$11:AD$303)&gt;0,SUMIF(data_주일!$B$11:$B$303,$D23,data_주일!AD$11:AD$303),"")</f>
        <v>15</v>
      </c>
      <c r="P23" s="74">
        <f>IF(SUMIF(data_주일!$B18:$B310,$D23,data_주일!AE$11:AE$303)&gt;0,SUMIF(data_주일!$B18:$B310,$D23,data_주일!AE$11:AE$303),"")</f>
        <v>16</v>
      </c>
      <c r="Q23" s="74">
        <f>IF(SUMIF(data_주일!$B18:$B310,$D23,data_주일!AF$11:AF$303)&gt;0,SUMIF(data_주일!$B18:$B310,$D23,data_주일!AF$11:AF$303),"")</f>
        <v>19</v>
      </c>
      <c r="R23" s="74">
        <f>IF(SUMIF(data_주일!$B18:$B310,$D23,data_주일!AG$11:AG$303)&gt;0,SUMIF(data_주일!$B18:$B310,$D23,data_주일!AG$11:AG$303),"")</f>
        <v>20</v>
      </c>
      <c r="S23" s="74">
        <f>IF(SUMIF(data_주일!$B18:$B310,$D23,data_주일!AH$11:AH$303)&gt;0,SUMIF(data_주일!$B18:$B310,$D23,data_주일!AH$11:AH$303),"")</f>
        <v>15</v>
      </c>
      <c r="T23" s="74">
        <f>IF(SUMIF(data_주일!$B18:$B310,$D23,data_주일!AI$11:AI$303)&gt;0,SUMIF(data_주일!$B18:$B310,$D23,data_주일!AI$11:AI$303),"")</f>
        <v>21</v>
      </c>
      <c r="U23" s="74">
        <f>IF(SUMIF(data_주일!$B18:$B310,$D23,data_주일!AJ$11:AJ$303)&gt;0,SUMIF(data_주일!$B18:$B310,$D23,data_주일!AJ$11:AJ$303),"")</f>
        <v>19</v>
      </c>
      <c r="V23" s="74">
        <f>IF(SUMIF(data_주일!$B18:$B310,$D23,data_주일!AK$11:AK$303)&gt;0,SUMIF(data_주일!$B18:$B310,$D23,data_주일!AK$11:AK$303),"")</f>
        <v>21</v>
      </c>
      <c r="W23" s="74" t="str">
        <f>IF(SUMIF(data_주일!$B18:$B310,$D23,data_주일!AL$11:AL$303)&gt;0,SUMIF(data_주일!$B18:$B310,$D23,data_주일!AL$11:AL$303),"")</f>
        <v/>
      </c>
      <c r="X23" s="74">
        <f>IF(SUMIF(data_주일!$B18:$B310,$D23,data_주일!AM$11:AM$303)&gt;0,SUMIF(data_주일!$B18:$B310,$D23,data_주일!AM$11:AM$303),"")</f>
        <v>18</v>
      </c>
      <c r="Y23" s="82">
        <f t="shared" si="4"/>
        <v>19.615384615384617</v>
      </c>
    </row>
    <row r="24" spans="3:25" ht="16.149999999999999" customHeight="1" x14ac:dyDescent="0.3">
      <c r="C24" s="72"/>
      <c r="D24" s="88">
        <v>42</v>
      </c>
      <c r="E24" s="89"/>
      <c r="F24" s="73">
        <v>29</v>
      </c>
      <c r="G24" s="74">
        <f>IF(SUMIF(data_주일!$B$11:$B$303,$D24,data_주일!V$11:V$303)&gt;0,SUMIF(data_주일!$B$11:$B$303,$D24,data_주일!V$11:V$303),"")</f>
        <v>18</v>
      </c>
      <c r="H24" s="74">
        <f>IF(SUMIF(data_주일!$B$11:$B$303,$D24,data_주일!W$11:W$303)&gt;0,SUMIF(data_주일!$B$11:$B$303,$D24,data_주일!W$11:W$303),"")</f>
        <v>13</v>
      </c>
      <c r="I24" s="74">
        <f>IF(SUMIF(data_주일!$B$11:$B$303,$D24,data_주일!X$11:X$303)&gt;0,SUMIF(data_주일!$B$11:$B$303,$D24,data_주일!X$11:X$303),"")</f>
        <v>22</v>
      </c>
      <c r="J24" s="74">
        <f>IF(SUMIF(data_주일!$B$11:$B$303,$D24,data_주일!Y$11:Y$303)&gt;0,SUMIF(data_주일!$B$11:$B$303,$D24,data_주일!Y$11:Y$303),"")</f>
        <v>19</v>
      </c>
      <c r="K24" s="74">
        <f>IF(SUMIF(data_주일!$B$11:$B$303,$D24,data_주일!Z$11:Z$303)&gt;0,SUMIF(data_주일!$B$11:$B$303,$D24,data_주일!Z$11:Z$303),"")</f>
        <v>22</v>
      </c>
      <c r="L24" s="74">
        <f>IF(SUMIF(data_주일!$B$11:$B$303,$D24,data_주일!AA$11:AA$303)&gt;0,SUMIF(data_주일!$B$11:$B$303,$D24,data_주일!AA$11:AA$303),"")</f>
        <v>24</v>
      </c>
      <c r="M24" s="74">
        <f>IF(SUMIF(data_주일!$B$11:$B$303,$D24,data_주일!AB$11:AB$303)&gt;0,SUMIF(data_주일!$B$11:$B$303,$D24,data_주일!AB$11:AB$303),"")</f>
        <v>23</v>
      </c>
      <c r="N24" s="74">
        <f>IF(SUMIF(data_주일!$B$11:$B$303,$D24,data_주일!AC$11:AC$303)&gt;0,SUMIF(data_주일!$B$11:$B$303,$D24,data_주일!AC$11:AC$303),"")</f>
        <v>23</v>
      </c>
      <c r="O24" s="74">
        <f>IF(SUMIF(data_주일!$B$11:$B$303,$D24,data_주일!AD$11:AD$303)&gt;0,SUMIF(data_주일!$B$11:$B$303,$D24,data_주일!AD$11:AD$303),"")</f>
        <v>23</v>
      </c>
      <c r="P24" s="74">
        <f>IF(SUMIF(data_주일!$B19:$B311,$D24,data_주일!AE$11:AE$303)&gt;0,SUMIF(data_주일!$B19:$B311,$D24,data_주일!AE$11:AE$303),"")</f>
        <v>22</v>
      </c>
      <c r="Q24" s="74">
        <f>IF(SUMIF(data_주일!$B19:$B311,$D24,data_주일!AF$11:AF$303)&gt;0,SUMIF(data_주일!$B19:$B311,$D24,data_주일!AF$11:AF$303),"")</f>
        <v>22</v>
      </c>
      <c r="R24" s="74">
        <f>IF(SUMIF(data_주일!$B19:$B311,$D24,data_주일!AG$11:AG$303)&gt;0,SUMIF(data_주일!$B19:$B311,$D24,data_주일!AG$11:AG$303),"")</f>
        <v>21</v>
      </c>
      <c r="S24" s="74">
        <f>IF(SUMIF(data_주일!$B19:$B311,$D24,data_주일!AH$11:AH$303)&gt;0,SUMIF(data_주일!$B19:$B311,$D24,data_주일!AH$11:AH$303),"")</f>
        <v>19</v>
      </c>
      <c r="T24" s="74">
        <f>IF(SUMIF(data_주일!$B19:$B311,$D24,data_주일!AI$11:AI$303)&gt;0,SUMIF(data_주일!$B19:$B311,$D24,data_주일!AI$11:AI$303),"")</f>
        <v>23</v>
      </c>
      <c r="U24" s="74">
        <f>IF(SUMIF(data_주일!$B19:$B311,$D24,data_주일!AJ$11:AJ$303)&gt;0,SUMIF(data_주일!$B19:$B311,$D24,data_주일!AJ$11:AJ$303),"")</f>
        <v>20</v>
      </c>
      <c r="V24" s="74">
        <f>IF(SUMIF(data_주일!$B19:$B311,$D24,data_주일!AK$11:AK$303)&gt;0,SUMIF(data_주일!$B19:$B311,$D24,data_주일!AK$11:AK$303),"")</f>
        <v>22</v>
      </c>
      <c r="W24" s="74" t="str">
        <f>IF(SUMIF(data_주일!$B19:$B311,$D24,data_주일!AL$11:AL$303)&gt;0,SUMIF(data_주일!$B19:$B311,$D24,data_주일!AL$11:AL$303),"")</f>
        <v/>
      </c>
      <c r="X24" s="74">
        <f>IF(SUMIF(data_주일!$B19:$B311,$D24,data_주일!AM$11:AM$303)&gt;0,SUMIF(data_주일!$B19:$B311,$D24,data_주일!AM$11:AM$303),"")</f>
        <v>20</v>
      </c>
      <c r="Y24" s="82">
        <f t="shared" si="4"/>
        <v>21.846153846153847</v>
      </c>
    </row>
    <row r="25" spans="3:25" ht="16.149999999999999" customHeight="1" x14ac:dyDescent="0.3">
      <c r="C25" s="72"/>
      <c r="D25" s="88">
        <v>43</v>
      </c>
      <c r="E25" s="89"/>
      <c r="F25" s="73">
        <v>34</v>
      </c>
      <c r="G25" s="74">
        <f>IF(SUMIF(data_주일!$B$11:$B$303,$D25,data_주일!V$11:V$303)&gt;0,SUMIF(data_주일!$B$11:$B$303,$D25,data_주일!V$11:V$303),"")</f>
        <v>23</v>
      </c>
      <c r="H25" s="74">
        <f>IF(SUMIF(data_주일!$B$11:$B$303,$D25,data_주일!W$11:W$303)&gt;0,SUMIF(data_주일!$B$11:$B$303,$D25,data_주일!W$11:W$303),"")</f>
        <v>23</v>
      </c>
      <c r="I25" s="74">
        <f>IF(SUMIF(data_주일!$B$11:$B$303,$D25,data_주일!X$11:X$303)&gt;0,SUMIF(data_주일!$B$11:$B$303,$D25,data_주일!X$11:X$303),"")</f>
        <v>22</v>
      </c>
      <c r="J25" s="74">
        <f>IF(SUMIF(data_주일!$B$11:$B$303,$D25,data_주일!Y$11:Y$303)&gt;0,SUMIF(data_주일!$B$11:$B$303,$D25,data_주일!Y$11:Y$303),"")</f>
        <v>26</v>
      </c>
      <c r="K25" s="74">
        <f>IF(SUMIF(data_주일!$B$11:$B$303,$D25,data_주일!Z$11:Z$303)&gt;0,SUMIF(data_주일!$B$11:$B$303,$D25,data_주일!Z$11:Z$303),"")</f>
        <v>26</v>
      </c>
      <c r="L25" s="74">
        <f>IF(SUMIF(data_주일!$B$11:$B$303,$D25,data_주일!AA$11:AA$303)&gt;0,SUMIF(data_주일!$B$11:$B$303,$D25,data_주일!AA$11:AA$303),"")</f>
        <v>22</v>
      </c>
      <c r="M25" s="74">
        <f>IF(SUMIF(data_주일!$B$11:$B$303,$D25,data_주일!AB$11:AB$303)&gt;0,SUMIF(data_주일!$B$11:$B$303,$D25,data_주일!AB$11:AB$303),"")</f>
        <v>28</v>
      </c>
      <c r="N25" s="74">
        <f>IF(SUMIF(data_주일!$B$11:$B$303,$D25,data_주일!AC$11:AC$303)&gt;0,SUMIF(data_주일!$B$11:$B$303,$D25,data_주일!AC$11:AC$303),"")</f>
        <v>25</v>
      </c>
      <c r="O25" s="74">
        <f>IF(SUMIF(data_주일!$B$11:$B$303,$D25,data_주일!AD$11:AD$303)&gt;0,SUMIF(data_주일!$B$11:$B$303,$D25,data_주일!AD$11:AD$303),"")</f>
        <v>25</v>
      </c>
      <c r="P25" s="74">
        <f>IF(SUMIF(data_주일!$B20:$B312,$D25,data_주일!AE$11:AE$303)&gt;0,SUMIF(data_주일!$B20:$B312,$D25,data_주일!AE$11:AE$303),"")</f>
        <v>28</v>
      </c>
      <c r="Q25" s="74">
        <f>IF(SUMIF(data_주일!$B20:$B312,$D25,data_주일!AF$11:AF$303)&gt;0,SUMIF(data_주일!$B20:$B312,$D25,data_주일!AF$11:AF$303),"")</f>
        <v>27</v>
      </c>
      <c r="R25" s="74">
        <f>IF(SUMIF(data_주일!$B20:$B312,$D25,data_주일!AG$11:AG$303)&gt;0,SUMIF(data_주일!$B20:$B312,$D25,data_주일!AG$11:AG$303),"")</f>
        <v>22</v>
      </c>
      <c r="S25" s="74">
        <f>IF(SUMIF(data_주일!$B20:$B312,$D25,data_주일!AH$11:AH$303)&gt;0,SUMIF(data_주일!$B20:$B312,$D25,data_주일!AH$11:AH$303),"")</f>
        <v>26</v>
      </c>
      <c r="T25" s="74">
        <f>IF(SUMIF(data_주일!$B20:$B312,$D25,data_주일!AI$11:AI$303)&gt;0,SUMIF(data_주일!$B20:$B312,$D25,data_주일!AI$11:AI$303),"")</f>
        <v>27</v>
      </c>
      <c r="U25" s="74">
        <f>IF(SUMIF(data_주일!$B20:$B312,$D25,data_주일!AJ$11:AJ$303)&gt;0,SUMIF(data_주일!$B20:$B312,$D25,data_주일!AJ$11:AJ$303),"")</f>
        <v>22</v>
      </c>
      <c r="V25" s="74">
        <f>IF(SUMIF(data_주일!$B20:$B312,$D25,data_주일!AK$11:AK$303)&gt;0,SUMIF(data_주일!$B20:$B312,$D25,data_주일!AK$11:AK$303),"")</f>
        <v>26</v>
      </c>
      <c r="W25" s="74" t="str">
        <f>IF(SUMIF(data_주일!$B20:$B312,$D25,data_주일!AL$11:AL$303)&gt;0,SUMIF(data_주일!$B20:$B312,$D25,data_주일!AL$11:AL$303),"")</f>
        <v/>
      </c>
      <c r="X25" s="74">
        <f>IF(SUMIF(data_주일!$B20:$B312,$D25,data_주일!AM$11:AM$303)&gt;0,SUMIF(data_주일!$B20:$B312,$D25,data_주일!AM$11:AM$303),"")</f>
        <v>26</v>
      </c>
      <c r="Y25" s="82">
        <f t="shared" si="4"/>
        <v>25.384615384615383</v>
      </c>
    </row>
    <row r="26" spans="3:25" ht="16.149999999999999" customHeight="1" x14ac:dyDescent="0.3">
      <c r="C26" s="96" t="s">
        <v>387</v>
      </c>
      <c r="D26" s="97"/>
      <c r="E26" s="98"/>
      <c r="F26" s="75" t="s">
        <v>388</v>
      </c>
      <c r="G26" s="76">
        <v>10</v>
      </c>
      <c r="H26" s="76">
        <v>12</v>
      </c>
      <c r="I26" s="76">
        <v>11</v>
      </c>
      <c r="J26" s="76">
        <v>8</v>
      </c>
      <c r="K26" s="76">
        <v>8</v>
      </c>
      <c r="L26" s="76">
        <v>10</v>
      </c>
      <c r="M26" s="76">
        <v>11</v>
      </c>
      <c r="N26" s="76">
        <v>8</v>
      </c>
      <c r="O26" s="76">
        <v>12</v>
      </c>
      <c r="P26" s="76">
        <v>14</v>
      </c>
      <c r="Q26" s="76">
        <v>10</v>
      </c>
      <c r="R26" s="76">
        <v>8</v>
      </c>
      <c r="S26" s="76">
        <v>14</v>
      </c>
      <c r="T26" s="76">
        <v>12</v>
      </c>
      <c r="U26" s="76">
        <v>13</v>
      </c>
      <c r="V26" s="76"/>
      <c r="W26" s="76"/>
      <c r="X26" s="76"/>
      <c r="Y26" s="82">
        <f>SUM(K26:X26)/(COUNTA(K26:X26))</f>
        <v>10.909090909090908</v>
      </c>
    </row>
    <row r="27" spans="3:25" ht="16.149999999999999" customHeight="1" x14ac:dyDescent="0.3">
      <c r="C27" s="99"/>
      <c r="D27" s="100"/>
      <c r="E27" s="101"/>
      <c r="F27" s="75" t="s">
        <v>344</v>
      </c>
      <c r="G27" s="77">
        <v>19</v>
      </c>
      <c r="H27" s="77">
        <v>21</v>
      </c>
      <c r="I27" s="77">
        <v>16</v>
      </c>
      <c r="J27" s="77">
        <v>16</v>
      </c>
      <c r="K27" s="77">
        <v>17</v>
      </c>
      <c r="L27" s="77">
        <v>20</v>
      </c>
      <c r="M27" s="77">
        <v>18</v>
      </c>
      <c r="N27" s="77">
        <v>17</v>
      </c>
      <c r="O27" s="77">
        <v>17</v>
      </c>
      <c r="P27" s="77">
        <v>19</v>
      </c>
      <c r="Q27" s="77">
        <v>17</v>
      </c>
      <c r="R27" s="77">
        <v>18</v>
      </c>
      <c r="S27" s="77">
        <v>15</v>
      </c>
      <c r="T27" s="77">
        <v>18</v>
      </c>
      <c r="U27" s="77">
        <v>24</v>
      </c>
      <c r="V27" s="77"/>
      <c r="W27" s="77"/>
      <c r="X27" s="77"/>
      <c r="Y27" s="82">
        <f>SUM(K27:X27)/(COUNTA(K27:X27))</f>
        <v>18.181818181818183</v>
      </c>
    </row>
    <row r="28" spans="3:25" ht="16.149999999999999" customHeight="1" x14ac:dyDescent="0.3">
      <c r="C28" s="102" t="s">
        <v>335</v>
      </c>
      <c r="D28" s="103"/>
      <c r="E28" s="103"/>
      <c r="F28" s="104"/>
      <c r="G28" s="58">
        <f t="shared" ref="G28:J28" si="5">IF(SUM(G14,G26,G27)&gt;0,SUM(G14,G26,G27),"")</f>
        <v>226</v>
      </c>
      <c r="H28" s="58">
        <f t="shared" si="5"/>
        <v>226</v>
      </c>
      <c r="I28" s="58">
        <f t="shared" si="5"/>
        <v>243</v>
      </c>
      <c r="J28" s="58">
        <f t="shared" si="5"/>
        <v>236</v>
      </c>
      <c r="K28" s="58">
        <f t="shared" ref="K28:X28" si="6">IF(SUM(K14,K26,K27)&gt;0,SUM(K14,K26,K27),"")</f>
        <v>226</v>
      </c>
      <c r="L28" s="58">
        <f t="shared" si="6"/>
        <v>228</v>
      </c>
      <c r="M28" s="58">
        <f t="shared" si="6"/>
        <v>241</v>
      </c>
      <c r="N28" s="58">
        <f t="shared" si="6"/>
        <v>235</v>
      </c>
      <c r="O28" s="58">
        <f t="shared" si="6"/>
        <v>235</v>
      </c>
      <c r="P28" s="58">
        <f t="shared" si="6"/>
        <v>250</v>
      </c>
      <c r="Q28" s="58">
        <f t="shared" si="6"/>
        <v>234</v>
      </c>
      <c r="R28" s="58">
        <f t="shared" si="6"/>
        <v>227</v>
      </c>
      <c r="S28" s="58">
        <f t="shared" si="6"/>
        <v>233</v>
      </c>
      <c r="T28" s="58">
        <f t="shared" ref="T28:W28" si="7">IF(SUM(T14,T26,T27)&gt;0,SUM(T14,T26,T27),"")</f>
        <v>242</v>
      </c>
      <c r="U28" s="58">
        <f>IF(SUM(U14,U26,U27)&gt;0,SUM(U14,U26,U27),"")</f>
        <v>249</v>
      </c>
      <c r="V28" s="58">
        <f t="shared" ref="V28" si="8">IF(SUM(V14,V26,V27)&gt;0,SUM(V14,V26,V27),"")</f>
        <v>223</v>
      </c>
      <c r="W28" s="58" t="str">
        <f t="shared" si="7"/>
        <v/>
      </c>
      <c r="X28" s="58">
        <f t="shared" si="6"/>
        <v>212</v>
      </c>
      <c r="Y28" s="83">
        <f t="shared" si="4"/>
        <v>233.46153846153845</v>
      </c>
    </row>
    <row r="29" spans="3:25" ht="22.15" customHeight="1" x14ac:dyDescent="0.3">
      <c r="C29" s="105" t="s">
        <v>358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</row>
    <row r="30" spans="3:25" ht="4.9000000000000004" customHeight="1" x14ac:dyDescent="0.3"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 spans="3:25" ht="7.9" customHeight="1" x14ac:dyDescent="0.3"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 spans="3:25" x14ac:dyDescent="0.3"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</row>
    <row r="33" spans="3:24" x14ac:dyDescent="0.3">
      <c r="C33" s="47"/>
    </row>
    <row r="34" spans="3:24" x14ac:dyDescent="0.3">
      <c r="C34" s="47"/>
    </row>
    <row r="35" spans="3:24" x14ac:dyDescent="0.3">
      <c r="C35" s="47"/>
    </row>
    <row r="36" spans="3:24" x14ac:dyDescent="0.3">
      <c r="C36" s="47"/>
    </row>
    <row r="37" spans="3:24" ht="16.5" customHeight="1" x14ac:dyDescent="0.3"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</row>
    <row r="38" spans="3:24" ht="16.5" customHeight="1" x14ac:dyDescent="0.3"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</row>
    <row r="39" spans="3:24" ht="16.5" customHeight="1" x14ac:dyDescent="0.3"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</row>
    <row r="40" spans="3:24" ht="16.5" customHeight="1" x14ac:dyDescent="0.3"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</row>
    <row r="41" spans="3:24" ht="16.5" customHeight="1" x14ac:dyDescent="0.3"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</row>
    <row r="42" spans="3:24" ht="12.95" customHeight="1" x14ac:dyDescent="0.3">
      <c r="C42" s="51" t="s">
        <v>340</v>
      </c>
      <c r="D42" s="108" t="s">
        <v>385</v>
      </c>
      <c r="E42" s="109"/>
      <c r="F42" s="54" t="s">
        <v>201</v>
      </c>
      <c r="G42" s="53">
        <v>45752</v>
      </c>
      <c r="H42" s="53">
        <v>45759</v>
      </c>
      <c r="I42" s="53">
        <v>45766</v>
      </c>
      <c r="J42" s="53">
        <v>45773</v>
      </c>
      <c r="K42" s="6">
        <f>K13</f>
        <v>46145</v>
      </c>
      <c r="L42" s="6">
        <f t="shared" ref="L42:X42" si="9">L13</f>
        <v>46152</v>
      </c>
      <c r="M42" s="6">
        <f t="shared" si="9"/>
        <v>46159</v>
      </c>
      <c r="N42" s="6">
        <f t="shared" si="9"/>
        <v>46166</v>
      </c>
      <c r="O42" s="6">
        <f t="shared" si="9"/>
        <v>46173</v>
      </c>
      <c r="P42" s="6">
        <f t="shared" si="9"/>
        <v>46180</v>
      </c>
      <c r="Q42" s="6">
        <f t="shared" si="9"/>
        <v>46187</v>
      </c>
      <c r="R42" s="6">
        <f t="shared" si="9"/>
        <v>46194</v>
      </c>
      <c r="S42" s="6">
        <f t="shared" si="9"/>
        <v>46201</v>
      </c>
      <c r="T42" s="6">
        <f t="shared" ref="T42:W42" si="10">T13</f>
        <v>46208</v>
      </c>
      <c r="U42" s="6">
        <f t="shared" si="10"/>
        <v>46215</v>
      </c>
      <c r="V42" s="6">
        <f t="shared" ref="V42" si="11">V13</f>
        <v>46222</v>
      </c>
      <c r="W42" s="6">
        <f t="shared" si="10"/>
        <v>46229</v>
      </c>
      <c r="X42" s="6">
        <f t="shared" si="9"/>
        <v>46236</v>
      </c>
    </row>
    <row r="43" spans="3:24" ht="12.95" customHeight="1" x14ac:dyDescent="0.3">
      <c r="C43" s="40" t="str">
        <f>IF(data_주일!C309="","",data_주일!C309)</f>
        <v>윤나영</v>
      </c>
      <c r="D43" s="86" t="str">
        <f>IF(data_주일!D309="","",data_주일!D309)</f>
        <v>최경숙</v>
      </c>
      <c r="E43" s="87"/>
      <c r="F43" s="40">
        <f>IF(data_주일!B309="","",data_주일!B309)</f>
        <v>11</v>
      </c>
      <c r="G43" s="46" t="str">
        <f>IF(data_주일!V309=1,$C43,"")</f>
        <v/>
      </c>
      <c r="H43" s="46" t="str">
        <f>IF(data_주일!W309=1,$C43,"")</f>
        <v/>
      </c>
      <c r="I43" s="46" t="str">
        <f>IF(data_주일!X309=1,$C43,"")</f>
        <v/>
      </c>
      <c r="J43" s="46" t="str">
        <f>IF(data_주일!Y309=1,$C43,"")</f>
        <v/>
      </c>
      <c r="K43" s="46" t="str">
        <f>IF(data_주일!Z309=1,$C43,"")</f>
        <v/>
      </c>
      <c r="L43" s="46" t="str">
        <f>IF(data_주일!AA309=1,$C43,"")</f>
        <v/>
      </c>
      <c r="M43" s="46" t="str">
        <f>IF(data_주일!AB309=1,$C43,"")</f>
        <v/>
      </c>
      <c r="N43" s="46" t="str">
        <f>IF(data_주일!AC309=1,$C43,"")</f>
        <v/>
      </c>
      <c r="O43" s="46" t="str">
        <f>IF(data_주일!AD309=1,$C43,"")</f>
        <v/>
      </c>
      <c r="P43" s="46" t="str">
        <f>IF(data_주일!AE309=1,$C43,"")</f>
        <v/>
      </c>
      <c r="Q43" s="46" t="str">
        <f>IF(data_주일!AF309=1,$C43,"")</f>
        <v/>
      </c>
      <c r="R43" s="46" t="str">
        <f>IF(data_주일!AG309=1,$C43,"")</f>
        <v/>
      </c>
      <c r="S43" s="46" t="str">
        <f>IF(data_주일!AH309=1,$C43,"")</f>
        <v/>
      </c>
      <c r="T43" s="46" t="str">
        <f>IF(data_주일!AI309=1,$C43,"")</f>
        <v/>
      </c>
      <c r="U43" s="46" t="str">
        <f>IF(data_주일!AJ309=1,$C43,"")</f>
        <v/>
      </c>
      <c r="V43" s="46" t="str">
        <f>IF(data_주일!AK309=1,$C43,"")</f>
        <v/>
      </c>
      <c r="W43" s="46" t="str">
        <f>IF(data_주일!AL309=1,$C43,"")</f>
        <v/>
      </c>
      <c r="X43" s="46" t="str">
        <f>IF(data_주일!AM309=1,$C43,"")</f>
        <v/>
      </c>
    </row>
    <row r="44" spans="3:24" ht="12.95" customHeight="1" x14ac:dyDescent="0.3">
      <c r="C44" s="40" t="str">
        <f>IF(data_주일!C310="","",data_주일!C310)</f>
        <v>조미경</v>
      </c>
      <c r="D44" s="86" t="str">
        <f>IF(data_주일!D310="","",data_주일!D310)</f>
        <v>서금자</v>
      </c>
      <c r="E44" s="87"/>
      <c r="F44" s="40">
        <f>IF(data_주일!B310="","",data_주일!B310)</f>
        <v>11</v>
      </c>
      <c r="G44" s="46" t="str">
        <f>IF(data_주일!V310=1,$C44,"")</f>
        <v/>
      </c>
      <c r="H44" s="46" t="str">
        <f>IF(data_주일!W310=1,$C44,"")</f>
        <v/>
      </c>
      <c r="I44" s="46" t="str">
        <f>IF(data_주일!X310=1,$C44,"")</f>
        <v/>
      </c>
      <c r="J44" s="46" t="str">
        <f>IF(data_주일!Y310=1,$C44,"")</f>
        <v/>
      </c>
      <c r="K44" s="46" t="str">
        <f>IF(data_주일!Z310=1,$C44,"")</f>
        <v>조미경</v>
      </c>
      <c r="L44" s="46" t="str">
        <f>IF(data_주일!AA310=1,$C44,"")</f>
        <v/>
      </c>
      <c r="M44" s="46" t="str">
        <f>IF(data_주일!AB310=1,$C44,"")</f>
        <v/>
      </c>
      <c r="N44" s="46" t="str">
        <f>IF(data_주일!AC310=1,$C44,"")</f>
        <v/>
      </c>
      <c r="O44" s="46" t="str">
        <f>IF(data_주일!AD310=1,$C44,"")</f>
        <v/>
      </c>
      <c r="P44" s="46" t="str">
        <f>IF(data_주일!AE310=1,$C44,"")</f>
        <v/>
      </c>
      <c r="Q44" s="46" t="str">
        <f>IF(data_주일!AF310=1,$C44,"")</f>
        <v/>
      </c>
      <c r="R44" s="46" t="str">
        <f>IF(data_주일!AG310=1,$C44,"")</f>
        <v/>
      </c>
      <c r="S44" s="46" t="str">
        <f>IF(data_주일!AH310=1,$C44,"")</f>
        <v/>
      </c>
      <c r="T44" s="46" t="str">
        <f>IF(data_주일!AI310=1,$C44,"")</f>
        <v/>
      </c>
      <c r="U44" s="46" t="str">
        <f>IF(data_주일!AJ310=1,$C44,"")</f>
        <v/>
      </c>
      <c r="V44" s="46" t="str">
        <f>IF(data_주일!AK310=1,$C44,"")</f>
        <v/>
      </c>
      <c r="W44" s="46" t="str">
        <f>IF(data_주일!AL310=1,$C44,"")</f>
        <v/>
      </c>
      <c r="X44" s="46" t="str">
        <f>IF(data_주일!AM310=1,$C44,"")</f>
        <v/>
      </c>
    </row>
    <row r="45" spans="3:24" ht="12.95" customHeight="1" x14ac:dyDescent="0.3">
      <c r="C45" s="40" t="str">
        <f>IF(data_주일!C311="","",data_주일!C311)</f>
        <v>차경은</v>
      </c>
      <c r="D45" s="86" t="str">
        <f>IF(data_주일!D311="","",data_주일!D311)</f>
        <v>이지영</v>
      </c>
      <c r="E45" s="87"/>
      <c r="F45" s="40">
        <f>IF(data_주일!B311="","",data_주일!B311)</f>
        <v>11</v>
      </c>
      <c r="G45" s="46" t="str">
        <f>IF(data_주일!V311=1,$C45,"")</f>
        <v/>
      </c>
      <c r="H45" s="46" t="str">
        <f>IF(data_주일!W311=1,$C45,"")</f>
        <v/>
      </c>
      <c r="I45" s="46" t="str">
        <f>IF(data_주일!X311=1,$C45,"")</f>
        <v/>
      </c>
      <c r="J45" s="46" t="str">
        <f>IF(data_주일!Y311=1,$C45,"")</f>
        <v/>
      </c>
      <c r="K45" s="46" t="str">
        <f>IF(data_주일!Z311=1,$C45,"")</f>
        <v>차경은</v>
      </c>
      <c r="L45" s="46" t="str">
        <f>IF(data_주일!AA311=1,$C45,"")</f>
        <v/>
      </c>
      <c r="M45" s="46" t="str">
        <f>IF(data_주일!AB311=1,$C45,"")</f>
        <v/>
      </c>
      <c r="N45" s="46" t="str">
        <f>IF(data_주일!AC311=1,$C45,"")</f>
        <v/>
      </c>
      <c r="O45" s="46" t="str">
        <f>IF(data_주일!AD311=1,$C45,"")</f>
        <v/>
      </c>
      <c r="P45" s="46" t="str">
        <f>IF(data_주일!AE311=1,$C45,"")</f>
        <v/>
      </c>
      <c r="Q45" s="46" t="str">
        <f>IF(data_주일!AF311=1,$C45,"")</f>
        <v/>
      </c>
      <c r="R45" s="46" t="str">
        <f>IF(data_주일!AG311=1,$C45,"")</f>
        <v/>
      </c>
      <c r="S45" s="46" t="str">
        <f>IF(data_주일!AH311=1,$C45,"")</f>
        <v/>
      </c>
      <c r="T45" s="46" t="str">
        <f>IF(data_주일!AI311=1,$C45,"")</f>
        <v/>
      </c>
      <c r="U45" s="46" t="str">
        <f>IF(data_주일!AJ311=1,$C45,"")</f>
        <v/>
      </c>
      <c r="V45" s="46" t="str">
        <f>IF(data_주일!AK311=1,$C45,"")</f>
        <v/>
      </c>
      <c r="W45" s="46" t="str">
        <f>IF(data_주일!AL311=1,$C45,"")</f>
        <v/>
      </c>
      <c r="X45" s="46" t="str">
        <f>IF(data_주일!AM311=1,$C45,"")</f>
        <v/>
      </c>
    </row>
    <row r="46" spans="3:24" ht="12.95" customHeight="1" x14ac:dyDescent="0.3">
      <c r="C46" s="40" t="str">
        <f>IF(data_주일!C312="","",data_주일!C312)</f>
        <v>차미나</v>
      </c>
      <c r="D46" s="86" t="str">
        <f>IF(data_주일!D312="","",data_주일!D312)</f>
        <v>이지영</v>
      </c>
      <c r="E46" s="87"/>
      <c r="F46" s="40">
        <f>IF(data_주일!B312="","",data_주일!B312)</f>
        <v>11</v>
      </c>
      <c r="G46" s="46" t="str">
        <f>IF(data_주일!V312=1,$C46,"")</f>
        <v/>
      </c>
      <c r="H46" s="46" t="str">
        <f>IF(data_주일!W312=1,$C46,"")</f>
        <v/>
      </c>
      <c r="I46" s="46" t="str">
        <f>IF(data_주일!X312=1,$C46,"")</f>
        <v/>
      </c>
      <c r="J46" s="46" t="str">
        <f>IF(data_주일!Y312=1,$C46,"")</f>
        <v/>
      </c>
      <c r="K46" s="46" t="str">
        <f>IF(data_주일!Z312=1,$C46,"")</f>
        <v>차미나</v>
      </c>
      <c r="L46" s="46" t="str">
        <f>IF(data_주일!AA312=1,$C46,"")</f>
        <v/>
      </c>
      <c r="M46" s="46" t="str">
        <f>IF(data_주일!AB312=1,$C46,"")</f>
        <v/>
      </c>
      <c r="N46" s="46" t="str">
        <f>IF(data_주일!AC312=1,$C46,"")</f>
        <v/>
      </c>
      <c r="O46" s="46" t="str">
        <f>IF(data_주일!AD312=1,$C46,"")</f>
        <v/>
      </c>
      <c r="P46" s="46" t="str">
        <f>IF(data_주일!AE312=1,$C46,"")</f>
        <v/>
      </c>
      <c r="Q46" s="46" t="str">
        <f>IF(data_주일!AF312=1,$C46,"")</f>
        <v/>
      </c>
      <c r="R46" s="46" t="str">
        <f>IF(data_주일!AG312=1,$C46,"")</f>
        <v/>
      </c>
      <c r="S46" s="46" t="str">
        <f>IF(data_주일!AH312=1,$C46,"")</f>
        <v/>
      </c>
      <c r="T46" s="46" t="str">
        <f>IF(data_주일!AI312=1,$C46,"")</f>
        <v/>
      </c>
      <c r="U46" s="46" t="str">
        <f>IF(data_주일!AJ312=1,$C46,"")</f>
        <v/>
      </c>
      <c r="V46" s="46" t="str">
        <f>IF(data_주일!AK312=1,$C46,"")</f>
        <v/>
      </c>
      <c r="W46" s="46" t="str">
        <f>IF(data_주일!AL312=1,$C46,"")</f>
        <v/>
      </c>
      <c r="X46" s="46" t="str">
        <f>IF(data_주일!AM312=1,$C46,"")</f>
        <v/>
      </c>
    </row>
    <row r="47" spans="3:24" ht="12.95" customHeight="1" x14ac:dyDescent="0.3">
      <c r="C47" s="40" t="str">
        <f>IF(data_주일!C315="","",data_주일!C315)</f>
        <v>송경애</v>
      </c>
      <c r="D47" s="86" t="str">
        <f>IF(data_주일!D315="","",data_주일!D315)</f>
        <v>조수자</v>
      </c>
      <c r="E47" s="87"/>
      <c r="F47" s="40">
        <f>IF(data_주일!B315="","",data_주일!B315)</f>
        <v>12</v>
      </c>
      <c r="G47" s="46" t="str">
        <f>IF(data_주일!V318=1,$C47,"")</f>
        <v/>
      </c>
      <c r="H47" s="46" t="str">
        <f>IF(data_주일!W318=1,$C47,"")</f>
        <v/>
      </c>
      <c r="I47" s="46" t="str">
        <f>IF(data_주일!X318=1,$C47,"")</f>
        <v/>
      </c>
      <c r="J47" s="46" t="str">
        <f>IF(data_주일!Y318=1,$C47,"")</f>
        <v/>
      </c>
      <c r="K47" s="46" t="str">
        <f>IF(data_주일!Z315=1,$C47,"")</f>
        <v/>
      </c>
      <c r="L47" s="46" t="str">
        <f>IF(data_주일!AA315=1,$C47,"")</f>
        <v/>
      </c>
      <c r="M47" s="46" t="str">
        <f>IF(data_주일!AB315=1,$C47,"")</f>
        <v/>
      </c>
      <c r="N47" s="46" t="str">
        <f>IF(data_주일!AC315=1,$C47,"")</f>
        <v/>
      </c>
      <c r="O47" s="46" t="str">
        <f>IF(data_주일!AD315=1,$C47,"")</f>
        <v/>
      </c>
      <c r="P47" s="46" t="str">
        <f>IF(data_주일!AE315=1,$C47,"")</f>
        <v/>
      </c>
      <c r="Q47" s="46" t="str">
        <f>IF(data_주일!AF315=1,$C47,"")</f>
        <v/>
      </c>
      <c r="R47" s="46" t="str">
        <f>IF(data_주일!AG315=1,$C47,"")</f>
        <v/>
      </c>
      <c r="S47" s="46" t="str">
        <f>IF(data_주일!AH315=1,$C47,"")</f>
        <v/>
      </c>
      <c r="T47" s="46" t="str">
        <f>IF(data_주일!AI315=1,$C47,"")</f>
        <v/>
      </c>
      <c r="U47" s="46" t="str">
        <f>IF(data_주일!AJ315=1,$C47,"")</f>
        <v>송경애</v>
      </c>
      <c r="V47" s="46" t="str">
        <f>IF(data_주일!AK315=1,$C47,"")</f>
        <v>송경애</v>
      </c>
      <c r="W47" s="46" t="str">
        <f>IF(data_주일!AL315=1,$C47,"")</f>
        <v/>
      </c>
      <c r="X47" s="46" t="str">
        <f>IF(data_주일!AM315=1,$C47,"")</f>
        <v>송경애</v>
      </c>
    </row>
    <row r="48" spans="3:24" ht="12.95" customHeight="1" x14ac:dyDescent="0.3">
      <c r="C48" s="40" t="str">
        <f>IF(data_주일!C318="","",data_주일!C318)</f>
        <v>신현금</v>
      </c>
      <c r="D48" s="86" t="str">
        <f>IF(data_주일!D318="","",data_주일!D318)</f>
        <v>김재홍</v>
      </c>
      <c r="E48" s="87"/>
      <c r="F48" s="40">
        <f>IF(data_주일!B318="","",data_주일!B318)</f>
        <v>21</v>
      </c>
      <c r="G48" s="46" t="str">
        <f>IF(data_주일!V319=1,$C48,"")</f>
        <v/>
      </c>
      <c r="H48" s="46" t="str">
        <f>IF(data_주일!W319=1,$C48,"")</f>
        <v/>
      </c>
      <c r="I48" s="46" t="str">
        <f>IF(data_주일!X319=1,$C48,"")</f>
        <v/>
      </c>
      <c r="J48" s="46" t="str">
        <f>IF(data_주일!Y319=1,$C48,"")</f>
        <v/>
      </c>
      <c r="K48" s="46" t="str">
        <f>IF(data_주일!Z318=1,$C48,"")</f>
        <v>신현금</v>
      </c>
      <c r="L48" s="46" t="str">
        <f>IF(data_주일!AA318=1,$C48,"")</f>
        <v/>
      </c>
      <c r="M48" s="46" t="str">
        <f>IF(data_주일!AB318=1,$C48,"")</f>
        <v>신현금</v>
      </c>
      <c r="N48" s="46" t="str">
        <f>IF(data_주일!AC318=1,$C48,"")</f>
        <v>신현금</v>
      </c>
      <c r="O48" s="46" t="str">
        <f>IF(data_주일!AD318=1,$C48,"")</f>
        <v>신현금</v>
      </c>
      <c r="P48" s="46" t="str">
        <f>IF(data_주일!AE318=1,$C48,"")</f>
        <v/>
      </c>
      <c r="Q48" s="46" t="str">
        <f>IF(data_주일!AF318=1,$C48,"")</f>
        <v/>
      </c>
      <c r="R48" s="46" t="str">
        <f>IF(data_주일!AG318=1,$C48,"")</f>
        <v/>
      </c>
      <c r="S48" s="46" t="str">
        <f>IF(data_주일!AH318=1,$C48,"")</f>
        <v/>
      </c>
      <c r="T48" s="46" t="str">
        <f>IF(data_주일!AI318=1,$C48,"")</f>
        <v/>
      </c>
      <c r="U48" s="46" t="str">
        <f>IF(data_주일!AJ318=1,$C48,"")</f>
        <v/>
      </c>
      <c r="V48" s="46" t="str">
        <f>IF(data_주일!AK318=1,$C48,"")</f>
        <v/>
      </c>
      <c r="W48" s="46" t="str">
        <f>IF(data_주일!AL318=1,$C48,"")</f>
        <v/>
      </c>
      <c r="X48" s="46" t="str">
        <f>IF(data_주일!AM318=1,$C48,"")</f>
        <v/>
      </c>
    </row>
    <row r="49" spans="3:24" ht="12.95" customHeight="1" x14ac:dyDescent="0.3">
      <c r="C49" s="40" t="str">
        <f>IF(data_주일!C319="","",data_주일!C319)</f>
        <v>노정희</v>
      </c>
      <c r="D49" s="86" t="str">
        <f>IF(data_주일!D319="","",data_주일!D319)</f>
        <v>박점숙</v>
      </c>
      <c r="E49" s="87"/>
      <c r="F49" s="40">
        <f>IF(data_주일!B319="","",data_주일!B319)</f>
        <v>21</v>
      </c>
      <c r="G49" s="46" t="str">
        <f>IF(data_주일!V321=1,$C49,"")</f>
        <v>노정희</v>
      </c>
      <c r="H49" s="46" t="str">
        <f>IF(data_주일!W321=1,$C49,"")</f>
        <v/>
      </c>
      <c r="I49" s="46" t="str">
        <f>IF(data_주일!X321=1,$C49,"")</f>
        <v/>
      </c>
      <c r="J49" s="46" t="str">
        <f>IF(data_주일!Y321=1,$C49,"")</f>
        <v>노정희</v>
      </c>
      <c r="K49" s="46" t="str">
        <f>IF(data_주일!Z319=1,$C49,"")</f>
        <v>노정희</v>
      </c>
      <c r="L49" s="46" t="str">
        <f>IF(data_주일!AA319=1,$C49,"")</f>
        <v/>
      </c>
      <c r="M49" s="46" t="str">
        <f>IF(data_주일!AB319=1,$C49,"")</f>
        <v>노정희</v>
      </c>
      <c r="N49" s="46" t="str">
        <f>IF(data_주일!AC319=1,$C49,"")</f>
        <v>노정희</v>
      </c>
      <c r="O49" s="46" t="str">
        <f>IF(data_주일!AD319=1,$C49,"")</f>
        <v>노정희</v>
      </c>
      <c r="P49" s="46" t="str">
        <f>IF(data_주일!AE319=1,$C49,"")</f>
        <v/>
      </c>
      <c r="Q49" s="46" t="str">
        <f>IF(data_주일!AF319=1,$C49,"")</f>
        <v/>
      </c>
      <c r="R49" s="46" t="str">
        <f>IF(data_주일!AG319=1,$C49,"")</f>
        <v/>
      </c>
      <c r="S49" s="46" t="str">
        <f>IF(data_주일!AH319=1,$C49,"")</f>
        <v>노정희</v>
      </c>
      <c r="T49" s="46" t="str">
        <f>IF(data_주일!AI319=1,$C49,"")</f>
        <v>노정희</v>
      </c>
      <c r="U49" s="46" t="str">
        <f>IF(data_주일!AJ319=1,$C49,"")</f>
        <v>노정희</v>
      </c>
      <c r="V49" s="46" t="str">
        <f>IF(data_주일!AK319=1,$C49,"")</f>
        <v/>
      </c>
      <c r="W49" s="46" t="str">
        <f>IF(data_주일!AL319=1,$C49,"")</f>
        <v>노정희</v>
      </c>
      <c r="X49" s="46" t="str">
        <f>IF(data_주일!AM319=1,$C49,"")</f>
        <v>노정희</v>
      </c>
    </row>
    <row r="50" spans="3:24" ht="12.95" customHeight="1" x14ac:dyDescent="0.3">
      <c r="C50" s="40" t="str">
        <f>IF(data_주일!C321="","",data_주일!C321)</f>
        <v>김창명</v>
      </c>
      <c r="D50" s="86" t="str">
        <f>IF(data_주일!D321="","",data_주일!D321)</f>
        <v>배미숙</v>
      </c>
      <c r="E50" s="87"/>
      <c r="F50" s="40">
        <f>IF(data_주일!B321="","",data_주일!B321)</f>
        <v>22</v>
      </c>
      <c r="G50" s="46" t="str">
        <f>IF(data_주일!V323=1,$C50,"")</f>
        <v/>
      </c>
      <c r="H50" s="46" t="str">
        <f>IF(data_주일!W323=1,$C50,"")</f>
        <v/>
      </c>
      <c r="I50" s="46" t="str">
        <f>IF(data_주일!X323=1,$C50,"")</f>
        <v/>
      </c>
      <c r="J50" s="46" t="str">
        <f>IF(data_주일!Y323=1,$C50,"")</f>
        <v/>
      </c>
      <c r="K50" s="46" t="str">
        <f>IF(data_주일!Z321=1,$C50,"")</f>
        <v>김창명</v>
      </c>
      <c r="L50" s="46" t="str">
        <f>IF(data_주일!AA321=1,$C50,"")</f>
        <v/>
      </c>
      <c r="M50" s="46" t="str">
        <f>IF(data_주일!AB321=1,$C50,"")</f>
        <v>김창명</v>
      </c>
      <c r="N50" s="46" t="str">
        <f>IF(data_주일!AC321=1,$C50,"")</f>
        <v/>
      </c>
      <c r="O50" s="46" t="str">
        <f>IF(data_주일!AD321=1,$C50,"")</f>
        <v/>
      </c>
      <c r="P50" s="46" t="str">
        <f>IF(data_주일!AE321=1,$C50,"")</f>
        <v/>
      </c>
      <c r="Q50" s="46" t="str">
        <f>IF(data_주일!AF321=1,$C50,"")</f>
        <v/>
      </c>
      <c r="R50" s="46" t="str">
        <f>IF(data_주일!AG321=1,$C50,"")</f>
        <v/>
      </c>
      <c r="S50" s="46" t="str">
        <f>IF(data_주일!AH321=1,$C50,"")</f>
        <v/>
      </c>
      <c r="T50" s="46" t="str">
        <f>IF(data_주일!AI321=1,$C50,"")</f>
        <v>김창명</v>
      </c>
      <c r="U50" s="46" t="str">
        <f>IF(data_주일!AJ321=1,$C50,"")</f>
        <v>김창명</v>
      </c>
      <c r="V50" s="46" t="str">
        <f>IF(data_주일!AK321=1,$C50,"")</f>
        <v>김창명</v>
      </c>
      <c r="W50" s="46" t="str">
        <f>IF(data_주일!AL321=1,$C50,"")</f>
        <v>김창명</v>
      </c>
      <c r="X50" s="46" t="str">
        <f>IF(data_주일!AM321=1,$C50,"")</f>
        <v/>
      </c>
    </row>
    <row r="51" spans="3:24" ht="12.95" customHeight="1" x14ac:dyDescent="0.3">
      <c r="C51" s="40" t="str">
        <f>IF(data_주일!C323="","",data_주일!C323)</f>
        <v>이경옥</v>
      </c>
      <c r="D51" s="86" t="str">
        <f>IF(data_주일!D323="","",data_주일!D323)</f>
        <v>배미숙</v>
      </c>
      <c r="E51" s="87"/>
      <c r="F51" s="40">
        <f>IF(data_주일!B323="","",data_주일!B323)</f>
        <v>22</v>
      </c>
      <c r="G51" s="46" t="str">
        <f>IF(data_주일!V325=1,$C51,"")</f>
        <v/>
      </c>
      <c r="H51" s="46" t="str">
        <f>IF(data_주일!W325=1,$C51,"")</f>
        <v/>
      </c>
      <c r="I51" s="46" t="str">
        <f>IF(data_주일!X325=1,$C51,"")</f>
        <v/>
      </c>
      <c r="J51" s="46" t="str">
        <f>IF(data_주일!Y325=1,$C51,"")</f>
        <v/>
      </c>
      <c r="K51" s="46" t="str">
        <f>IF(data_주일!Z323=1,$C51,"")</f>
        <v>이경옥</v>
      </c>
      <c r="L51" s="46" t="str">
        <f>IF(data_주일!AA323=1,$C51,"")</f>
        <v/>
      </c>
      <c r="M51" s="46" t="str">
        <f>IF(data_주일!AB323=1,$C51,"")</f>
        <v/>
      </c>
      <c r="N51" s="46" t="str">
        <f>IF(data_주일!AC323=1,$C51,"")</f>
        <v>이경옥</v>
      </c>
      <c r="O51" s="46" t="str">
        <f>IF(data_주일!AD323=1,$C51,"")</f>
        <v/>
      </c>
      <c r="P51" s="46" t="str">
        <f>IF(data_주일!AE323=1,$C51,"")</f>
        <v>이경옥</v>
      </c>
      <c r="Q51" s="46" t="str">
        <f>IF(data_주일!AF323=1,$C51,"")</f>
        <v>이경옥</v>
      </c>
      <c r="R51" s="46" t="str">
        <f>IF(data_주일!AG323=1,$C51,"")</f>
        <v>이경옥</v>
      </c>
      <c r="S51" s="46" t="str">
        <f>IF(data_주일!AH323=1,$C51,"")</f>
        <v>이경옥</v>
      </c>
      <c r="T51" s="46" t="str">
        <f>IF(data_주일!AI323=1,$C51,"")</f>
        <v/>
      </c>
      <c r="U51" s="46" t="str">
        <f>IF(data_주일!AJ323=1,$C51,"")</f>
        <v/>
      </c>
      <c r="V51" s="46" t="str">
        <f>IF(data_주일!AK323=1,$C51,"")</f>
        <v/>
      </c>
      <c r="W51" s="46" t="str">
        <f>IF(data_주일!AL323=1,$C51,"")</f>
        <v/>
      </c>
      <c r="X51" s="46" t="str">
        <f>IF(data_주일!AM323=1,$C51,"")</f>
        <v/>
      </c>
    </row>
    <row r="52" spans="3:24" ht="12.95" customHeight="1" x14ac:dyDescent="0.3">
      <c r="C52" s="40" t="str">
        <f>IF(data_주일!C324="","",data_주일!C324)</f>
        <v>이순자</v>
      </c>
      <c r="D52" s="86" t="str">
        <f>IF(data_주일!D324="","",data_주일!D324)</f>
        <v>박미옥</v>
      </c>
      <c r="E52" s="87"/>
      <c r="F52" s="40">
        <f>IF(data_주일!B324="","",data_주일!B324)</f>
        <v>22</v>
      </c>
      <c r="G52" s="46" t="str">
        <f>IF(data_주일!V326=1,$C52,"")</f>
        <v/>
      </c>
      <c r="H52" s="46" t="str">
        <f>IF(data_주일!W326=1,$C52,"")</f>
        <v/>
      </c>
      <c r="I52" s="46" t="str">
        <f>IF(data_주일!X326=1,$C52,"")</f>
        <v/>
      </c>
      <c r="J52" s="46" t="str">
        <f>IF(data_주일!Y326=1,$C52,"")</f>
        <v/>
      </c>
      <c r="K52" s="46" t="str">
        <f>IF(data_주일!Z324=1,$C52,"")</f>
        <v/>
      </c>
      <c r="L52" s="46" t="str">
        <f>IF(data_주일!AA324=1,$C52,"")</f>
        <v/>
      </c>
      <c r="M52" s="46" t="str">
        <f>IF(data_주일!AB324=1,$C52,"")</f>
        <v/>
      </c>
      <c r="N52" s="46" t="str">
        <f>IF(data_주일!AC324=1,$C52,"")</f>
        <v/>
      </c>
      <c r="O52" s="46" t="str">
        <f>IF(data_주일!AD324=1,$C52,"")</f>
        <v/>
      </c>
      <c r="P52" s="46" t="str">
        <f>IF(data_주일!AE324=1,$C52,"")</f>
        <v/>
      </c>
      <c r="Q52" s="46" t="str">
        <f>IF(data_주일!AF324=1,$C52,"")</f>
        <v>이순자</v>
      </c>
      <c r="R52" s="46" t="str">
        <f>IF(data_주일!AG324=1,$C52,"")</f>
        <v/>
      </c>
      <c r="S52" s="46" t="str">
        <f>IF(data_주일!AH324=1,$C52,"")</f>
        <v/>
      </c>
      <c r="T52" s="46" t="str">
        <f>IF(data_주일!AI324=1,$C52,"")</f>
        <v/>
      </c>
      <c r="U52" s="46" t="str">
        <f>IF(data_주일!AJ324=1,$C52,"")</f>
        <v/>
      </c>
      <c r="V52" s="46" t="str">
        <f>IF(data_주일!AK324=1,$C52,"")</f>
        <v/>
      </c>
      <c r="W52" s="46" t="str">
        <f>IF(data_주일!AL324=1,$C52,"")</f>
        <v/>
      </c>
      <c r="X52" s="46" t="str">
        <f>IF(data_주일!AM324=1,$C52,"")</f>
        <v/>
      </c>
    </row>
    <row r="53" spans="3:24" ht="12.95" customHeight="1" x14ac:dyDescent="0.3">
      <c r="C53" s="40" t="str">
        <f>IF(data_주일!C325="","",data_주일!C325)</f>
        <v>정니영</v>
      </c>
      <c r="D53" s="86" t="str">
        <f>IF(data_주일!D325="","",data_주일!D325)</f>
        <v>박미옥</v>
      </c>
      <c r="E53" s="87"/>
      <c r="F53" s="40">
        <f>IF(data_주일!B325="","",data_주일!B325)</f>
        <v>22</v>
      </c>
      <c r="G53" s="46" t="str">
        <f>IF(data_주일!V328=1,$C53,"")</f>
        <v/>
      </c>
      <c r="H53" s="46" t="str">
        <f>IF(data_주일!W328=1,$C53,"")</f>
        <v/>
      </c>
      <c r="I53" s="46" t="str">
        <f>IF(data_주일!X328=1,$C53,"")</f>
        <v/>
      </c>
      <c r="J53" s="46" t="str">
        <f>IF(data_주일!Y328=1,$C53,"")</f>
        <v/>
      </c>
      <c r="K53" s="46" t="str">
        <f>IF(data_주일!Z325=1,$C53,"")</f>
        <v/>
      </c>
      <c r="L53" s="46" t="str">
        <f>IF(data_주일!AA325=1,$C53,"")</f>
        <v/>
      </c>
      <c r="M53" s="46" t="str">
        <f>IF(data_주일!AB325=1,$C53,"")</f>
        <v/>
      </c>
      <c r="N53" s="46" t="str">
        <f>IF(data_주일!AC325=1,$C53,"")</f>
        <v>정니영</v>
      </c>
      <c r="O53" s="46" t="str">
        <f>IF(data_주일!AD325=1,$C53,"")</f>
        <v/>
      </c>
      <c r="P53" s="46" t="str">
        <f>IF(data_주일!AE325=1,$C53,"")</f>
        <v>정니영</v>
      </c>
      <c r="Q53" s="46" t="str">
        <f>IF(data_주일!AF325=1,$C53,"")</f>
        <v>정니영</v>
      </c>
      <c r="R53" s="46" t="str">
        <f>IF(data_주일!AG325=1,$C53,"")</f>
        <v>정니영</v>
      </c>
      <c r="S53" s="46" t="str">
        <f>IF(data_주일!AH325=1,$C53,"")</f>
        <v/>
      </c>
      <c r="T53" s="46" t="str">
        <f>IF(data_주일!AI325=1,$C53,"")</f>
        <v>정니영</v>
      </c>
      <c r="U53" s="46" t="str">
        <f>IF(data_주일!AJ325=1,$C53,"")</f>
        <v>정니영</v>
      </c>
      <c r="V53" s="46" t="str">
        <f>IF(data_주일!AK325=1,$C53,"")</f>
        <v>정니영</v>
      </c>
      <c r="W53" s="46" t="str">
        <f>IF(data_주일!AL325=1,$C53,"")</f>
        <v>정니영</v>
      </c>
      <c r="X53" s="46" t="str">
        <f>IF(data_주일!AM325=1,$C53,"")</f>
        <v/>
      </c>
    </row>
    <row r="54" spans="3:24" ht="12.95" customHeight="1" x14ac:dyDescent="0.3">
      <c r="C54" s="40" t="str">
        <f>IF(data_주일!C326="","",data_주일!C326)</f>
        <v>김명선</v>
      </c>
      <c r="D54" s="86" t="str">
        <f>IF(data_주일!D326="","",data_주일!D326)</f>
        <v>김명선</v>
      </c>
      <c r="E54" s="87"/>
      <c r="F54" s="40">
        <f>IF(data_주일!B326="","",data_주일!B326)</f>
        <v>31</v>
      </c>
      <c r="G54" s="46" t="str">
        <f>IF(data_주일!V329=1,$C54,"")</f>
        <v/>
      </c>
      <c r="H54" s="46" t="str">
        <f>IF(data_주일!W329=1,$C54,"")</f>
        <v/>
      </c>
      <c r="I54" s="46" t="str">
        <f>IF(data_주일!X329=1,$C54,"")</f>
        <v/>
      </c>
      <c r="J54" s="46" t="str">
        <f>IF(data_주일!Y329=1,$C54,"")</f>
        <v/>
      </c>
      <c r="K54" s="46" t="str">
        <f>IF(data_주일!Z326=1,$C54,"")</f>
        <v>김명선</v>
      </c>
      <c r="L54" s="46" t="str">
        <f>IF(data_주일!AA326=1,$C54,"")</f>
        <v>김명선</v>
      </c>
      <c r="M54" s="46" t="str">
        <f>IF(data_주일!AB326=1,$C54,"")</f>
        <v>김명선</v>
      </c>
      <c r="N54" s="46" t="str">
        <f>IF(data_주일!AC326=1,$C54,"")</f>
        <v>김명선</v>
      </c>
      <c r="O54" s="46" t="str">
        <f>IF(data_주일!AD326=1,$C54,"")</f>
        <v>김명선</v>
      </c>
      <c r="P54" s="46" t="str">
        <f>IF(data_주일!AE326=1,$C54,"")</f>
        <v>김명선</v>
      </c>
      <c r="Q54" s="46" t="str">
        <f>IF(data_주일!AF326=1,$C54,"")</f>
        <v>김명선</v>
      </c>
      <c r="R54" s="46" t="str">
        <f>IF(data_주일!AG326=1,$C54,"")</f>
        <v/>
      </c>
      <c r="S54" s="46" t="str">
        <f>IF(data_주일!AH326=1,$C54,"")</f>
        <v>김명선</v>
      </c>
      <c r="T54" s="46" t="str">
        <f>IF(data_주일!AI326=1,$C54,"")</f>
        <v>김명선</v>
      </c>
      <c r="U54" s="46" t="str">
        <f>IF(data_주일!AJ326=1,$C54,"")</f>
        <v>김명선</v>
      </c>
      <c r="V54" s="46" t="str">
        <f>IF(data_주일!AK326=1,$C54,"")</f>
        <v>김명선</v>
      </c>
      <c r="W54" s="46" t="str">
        <f>IF(data_주일!AL326=1,$C54,"")</f>
        <v>김명선</v>
      </c>
      <c r="X54" s="46" t="str">
        <f>IF(data_주일!AM326=1,$C54,"")</f>
        <v/>
      </c>
    </row>
    <row r="55" spans="3:24" ht="12.95" customHeight="1" x14ac:dyDescent="0.3">
      <c r="C55" s="40" t="str">
        <f>IF(data_주일!C328="","",data_주일!C328)</f>
        <v>정양선</v>
      </c>
      <c r="D55" s="86" t="str">
        <f>IF(data_주일!D328="","",data_주일!D328)</f>
        <v>이미화</v>
      </c>
      <c r="E55" s="87"/>
      <c r="F55" s="40">
        <f>IF(data_주일!B328="","",data_주일!B328)</f>
        <v>32</v>
      </c>
      <c r="G55" s="46" t="str">
        <f>IF(data_주일!V330=1,$C55,"")</f>
        <v/>
      </c>
      <c r="H55" s="46" t="str">
        <f>IF(data_주일!W330=1,$C55,"")</f>
        <v/>
      </c>
      <c r="I55" s="46" t="str">
        <f>IF(data_주일!X330=1,$C55,"")</f>
        <v/>
      </c>
      <c r="J55" s="46" t="str">
        <f>IF(data_주일!Y330=1,$C55,"")</f>
        <v/>
      </c>
      <c r="K55" s="46" t="str">
        <f>IF(data_주일!Z328=1,$C55,"")</f>
        <v>정양선</v>
      </c>
      <c r="L55" s="46" t="str">
        <f>IF(data_주일!AA328=1,$C55,"")</f>
        <v>정양선</v>
      </c>
      <c r="M55" s="46" t="str">
        <f>IF(data_주일!AB328=1,$C55,"")</f>
        <v/>
      </c>
      <c r="N55" s="46" t="str">
        <f>IF(data_주일!AC328=1,$C55,"")</f>
        <v/>
      </c>
      <c r="O55" s="46" t="str">
        <f>IF(data_주일!AD328=1,$C55,"")</f>
        <v/>
      </c>
      <c r="P55" s="46" t="str">
        <f>IF(data_주일!AE328=1,$C55,"")</f>
        <v>정양선</v>
      </c>
      <c r="Q55" s="46" t="str">
        <f>IF(data_주일!AF328=1,$C55,"")</f>
        <v/>
      </c>
      <c r="R55" s="46" t="str">
        <f>IF(data_주일!AG328=1,$C55,"")</f>
        <v/>
      </c>
      <c r="S55" s="46" t="str">
        <f>IF(data_주일!AH328=1,$C55,"")</f>
        <v>정양선</v>
      </c>
      <c r="T55" s="46" t="str">
        <f>IF(data_주일!AI328=1,$C55,"")</f>
        <v/>
      </c>
      <c r="U55" s="46" t="str">
        <f>IF(data_주일!AJ328=1,$C55,"")</f>
        <v>정양선</v>
      </c>
      <c r="V55" s="46" t="str">
        <f>IF(data_주일!AK328=1,$C55,"")</f>
        <v/>
      </c>
      <c r="W55" s="46" t="str">
        <f>IF(data_주일!AL328=1,$C55,"")</f>
        <v/>
      </c>
      <c r="X55" s="46" t="str">
        <f>IF(data_주일!AM328=1,$C55,"")</f>
        <v/>
      </c>
    </row>
    <row r="56" spans="3:24" ht="12.95" customHeight="1" x14ac:dyDescent="0.3">
      <c r="C56" s="40" t="str">
        <f>IF(data_주일!C329="","",data_주일!C329)</f>
        <v>최영욱</v>
      </c>
      <c r="D56" s="86" t="str">
        <f>IF(data_주일!D329="","",data_주일!D329)</f>
        <v>최명희</v>
      </c>
      <c r="E56" s="87"/>
      <c r="F56" s="40">
        <f>IF(data_주일!B329="","",data_주일!B329)</f>
        <v>32</v>
      </c>
      <c r="G56" s="46" t="str">
        <f>IF(data_주일!V331=1,$C56,"")</f>
        <v/>
      </c>
      <c r="H56" s="46" t="str">
        <f>IF(data_주일!W331=1,$C56,"")</f>
        <v/>
      </c>
      <c r="I56" s="46" t="str">
        <f>IF(data_주일!X331=1,$C56,"")</f>
        <v/>
      </c>
      <c r="J56" s="46" t="str">
        <f>IF(data_주일!Y331=1,$C56,"")</f>
        <v/>
      </c>
      <c r="K56" s="46" t="str">
        <f>IF(data_주일!Z329=1,$C56,"")</f>
        <v/>
      </c>
      <c r="L56" s="46" t="str">
        <f>IF(data_주일!AA329=1,$C56,"")</f>
        <v/>
      </c>
      <c r="M56" s="46" t="str">
        <f>IF(data_주일!AB329=1,$C56,"")</f>
        <v/>
      </c>
      <c r="N56" s="46" t="str">
        <f>IF(data_주일!AC329=1,$C56,"")</f>
        <v/>
      </c>
      <c r="O56" s="46" t="str">
        <f>IF(data_주일!AD329=1,$C56,"")</f>
        <v/>
      </c>
      <c r="P56" s="46" t="str">
        <f>IF(data_주일!AE329=1,$C56,"")</f>
        <v/>
      </c>
      <c r="Q56" s="46" t="str">
        <f>IF(data_주일!AF329=1,$C56,"")</f>
        <v/>
      </c>
      <c r="R56" s="46" t="str">
        <f>IF(data_주일!AG329=1,$C56,"")</f>
        <v/>
      </c>
      <c r="S56" s="46" t="str">
        <f>IF(data_주일!AH329=1,$C56,"")</f>
        <v/>
      </c>
      <c r="T56" s="46" t="str">
        <f>IF(data_주일!AI329=1,$C56,"")</f>
        <v/>
      </c>
      <c r="U56" s="46" t="str">
        <f>IF(data_주일!AJ329=1,$C56,"")</f>
        <v/>
      </c>
      <c r="V56" s="46" t="str">
        <f>IF(data_주일!AK329=1,$C56,"")</f>
        <v/>
      </c>
      <c r="W56" s="46" t="str">
        <f>IF(data_주일!AL329=1,$C56,"")</f>
        <v/>
      </c>
      <c r="X56" s="46" t="str">
        <f>IF(data_주일!AM329=1,$C56,"")</f>
        <v/>
      </c>
    </row>
    <row r="57" spans="3:24" ht="12.95" customHeight="1" x14ac:dyDescent="0.3">
      <c r="C57" s="40" t="str">
        <f>IF(data_주일!C330="","",data_주일!C330)</f>
        <v>최명희</v>
      </c>
      <c r="D57" s="86" t="str">
        <f>IF(data_주일!D330="","",data_주일!D330)</f>
        <v>윤영희</v>
      </c>
      <c r="E57" s="87"/>
      <c r="F57" s="40">
        <f>IF(data_주일!B330="","",data_주일!B330)</f>
        <v>32</v>
      </c>
      <c r="G57" s="46" t="str">
        <f>IF(data_주일!V332=1,$C57,"")</f>
        <v/>
      </c>
      <c r="H57" s="46" t="str">
        <f>IF(data_주일!W332=1,$C57,"")</f>
        <v/>
      </c>
      <c r="I57" s="46" t="str">
        <f>IF(data_주일!X332=1,$C57,"")</f>
        <v/>
      </c>
      <c r="J57" s="46" t="str">
        <f>IF(data_주일!Y332=1,$C57,"")</f>
        <v/>
      </c>
      <c r="K57" s="46" t="str">
        <f>IF(data_주일!Z330=1,$C57,"")</f>
        <v/>
      </c>
      <c r="L57" s="46" t="str">
        <f>IF(data_주일!AA330=1,$C57,"")</f>
        <v/>
      </c>
      <c r="M57" s="46" t="str">
        <f>IF(data_주일!AB330=1,$C57,"")</f>
        <v/>
      </c>
      <c r="N57" s="46" t="str">
        <f>IF(data_주일!AC330=1,$C57,"")</f>
        <v/>
      </c>
      <c r="O57" s="46" t="str">
        <f>IF(data_주일!AD330=1,$C57,"")</f>
        <v/>
      </c>
      <c r="P57" s="46" t="str">
        <f>IF(data_주일!AE330=1,$C57,"")</f>
        <v/>
      </c>
      <c r="Q57" s="46" t="str">
        <f>IF(data_주일!AF330=1,$C57,"")</f>
        <v/>
      </c>
      <c r="R57" s="46" t="str">
        <f>IF(data_주일!AG330=1,$C57,"")</f>
        <v/>
      </c>
      <c r="S57" s="46" t="str">
        <f>IF(data_주일!AH330=1,$C57,"")</f>
        <v/>
      </c>
      <c r="T57" s="46" t="str">
        <f>IF(data_주일!AI330=1,$C57,"")</f>
        <v/>
      </c>
      <c r="U57" s="46" t="str">
        <f>IF(data_주일!AJ330=1,$C57,"")</f>
        <v/>
      </c>
      <c r="V57" s="46" t="str">
        <f>IF(data_주일!AK330=1,$C57,"")</f>
        <v/>
      </c>
      <c r="W57" s="46" t="str">
        <f>IF(data_주일!AL330=1,$C57,"")</f>
        <v/>
      </c>
      <c r="X57" s="46" t="str">
        <f>IF(data_주일!AM330=1,$C57,"")</f>
        <v/>
      </c>
    </row>
    <row r="58" spans="3:24" ht="12.95" customHeight="1" x14ac:dyDescent="0.3">
      <c r="C58" s="40" t="str">
        <f>IF(data_주일!C331="","",data_주일!C331)</f>
        <v>이예인</v>
      </c>
      <c r="D58" s="86" t="str">
        <f>IF(data_주일!D331="","",data_주일!D331)</f>
        <v>오은경</v>
      </c>
      <c r="E58" s="87"/>
      <c r="F58" s="40">
        <f>IF(data_주일!B331="","",data_주일!B331)</f>
        <v>32</v>
      </c>
      <c r="G58" s="46" t="str">
        <f>IF(data_주일!V335=1,$C58,"")</f>
        <v/>
      </c>
      <c r="H58" s="46" t="str">
        <f>IF(data_주일!W335=1,$C58,"")</f>
        <v/>
      </c>
      <c r="I58" s="46" t="str">
        <f>IF(data_주일!X335=1,$C58,"")</f>
        <v/>
      </c>
      <c r="J58" s="46" t="str">
        <f>IF(data_주일!Y335=1,$C58,"")</f>
        <v/>
      </c>
      <c r="K58" s="46" t="str">
        <f>IF(data_주일!Z331=1,$C58,"")</f>
        <v/>
      </c>
      <c r="L58" s="46" t="str">
        <f>IF(data_주일!AA331=1,$C58,"")</f>
        <v/>
      </c>
      <c r="M58" s="46" t="str">
        <f>IF(data_주일!AB331=1,$C58,"")</f>
        <v/>
      </c>
      <c r="N58" s="46" t="str">
        <f>IF(data_주일!AC331=1,$C58,"")</f>
        <v>이예인</v>
      </c>
      <c r="O58" s="46" t="str">
        <f>IF(data_주일!AD331=1,$C58,"")</f>
        <v/>
      </c>
      <c r="P58" s="46" t="str">
        <f>IF(data_주일!AE331=1,$C58,"")</f>
        <v/>
      </c>
      <c r="Q58" s="46" t="str">
        <f>IF(data_주일!AF331=1,$C58,"")</f>
        <v/>
      </c>
      <c r="R58" s="46" t="str">
        <f>IF(data_주일!AG331=1,$C58,"")</f>
        <v/>
      </c>
      <c r="S58" s="46" t="str">
        <f>IF(data_주일!AH331=1,$C58,"")</f>
        <v>이예인</v>
      </c>
      <c r="T58" s="46" t="str">
        <f>IF(data_주일!AI331=1,$C58,"")</f>
        <v/>
      </c>
      <c r="U58" s="46" t="str">
        <f>IF(data_주일!AJ331=1,$C58,"")</f>
        <v>이예인</v>
      </c>
      <c r="V58" s="46" t="str">
        <f>IF(data_주일!AK331=1,$C58,"")</f>
        <v/>
      </c>
      <c r="W58" s="46" t="str">
        <f>IF(data_주일!AL331=1,$C58,"")</f>
        <v/>
      </c>
      <c r="X58" s="46" t="str">
        <f>IF(data_주일!AM331=1,$C58,"")</f>
        <v/>
      </c>
    </row>
    <row r="59" spans="3:24" ht="12.95" customHeight="1" x14ac:dyDescent="0.3">
      <c r="C59" s="40" t="str">
        <f>IF(data_주일!C332="","",data_주일!C332)</f>
        <v>오상진</v>
      </c>
      <c r="D59" s="86" t="str">
        <f>IF(data_주일!D332="","",data_주일!D332)</f>
        <v>최명희</v>
      </c>
      <c r="E59" s="87"/>
      <c r="F59" s="40">
        <f>IF(data_주일!B332="","",data_주일!B332)</f>
        <v>32</v>
      </c>
      <c r="G59" s="46" t="str">
        <f>IF(data_주일!V336=1,$C59,"")</f>
        <v/>
      </c>
      <c r="H59" s="46" t="str">
        <f>IF(data_주일!W336=1,$C59,"")</f>
        <v/>
      </c>
      <c r="I59" s="46" t="str">
        <f>IF(data_주일!X336=1,$C59,"")</f>
        <v/>
      </c>
      <c r="J59" s="46" t="str">
        <f>IF(data_주일!Y336=1,$C59,"")</f>
        <v/>
      </c>
      <c r="K59" s="46" t="str">
        <f>IF(data_주일!Z332=1,$C59,"")</f>
        <v/>
      </c>
      <c r="L59" s="46" t="str">
        <f>IF(data_주일!AA332=1,$C59,"")</f>
        <v/>
      </c>
      <c r="M59" s="46" t="str">
        <f>IF(data_주일!AB332=1,$C59,"")</f>
        <v/>
      </c>
      <c r="N59" s="46" t="str">
        <f>IF(data_주일!AC332=1,$C59,"")</f>
        <v>오상진</v>
      </c>
      <c r="O59" s="46" t="str">
        <f>IF(data_주일!AD332=1,$C59,"")</f>
        <v/>
      </c>
      <c r="P59" s="46" t="str">
        <f>IF(data_주일!AE332=1,$C59,"")</f>
        <v/>
      </c>
      <c r="Q59" s="46" t="str">
        <f>IF(data_주일!AF332=1,$C59,"")</f>
        <v/>
      </c>
      <c r="R59" s="46" t="str">
        <f>IF(data_주일!AG332=1,$C59,"")</f>
        <v/>
      </c>
      <c r="S59" s="46" t="str">
        <f>IF(data_주일!AH332=1,$C59,"")</f>
        <v/>
      </c>
      <c r="T59" s="46" t="str">
        <f>IF(data_주일!AI332=1,$C59,"")</f>
        <v/>
      </c>
      <c r="U59" s="46" t="str">
        <f>IF(data_주일!AJ332=1,$C59,"")</f>
        <v/>
      </c>
      <c r="V59" s="46" t="str">
        <f>IF(data_주일!AK332=1,$C59,"")</f>
        <v/>
      </c>
      <c r="W59" s="46" t="str">
        <f>IF(data_주일!AL332=1,$C59,"")</f>
        <v/>
      </c>
      <c r="X59" s="46" t="str">
        <f>IF(data_주일!AM332=1,$C59,"")</f>
        <v/>
      </c>
    </row>
    <row r="60" spans="3:24" ht="12.95" customHeight="1" x14ac:dyDescent="0.3">
      <c r="C60" s="40" t="str">
        <f>IF(data_주일!C335="","",data_주일!C335)</f>
        <v>김예솔</v>
      </c>
      <c r="D60" s="86" t="str">
        <f>IF(data_주일!D335="","",data_주일!D335)</f>
        <v>백종애</v>
      </c>
      <c r="E60" s="87"/>
      <c r="F60" s="40">
        <f>IF(data_주일!B335="","",data_주일!B335)</f>
        <v>41</v>
      </c>
      <c r="G60" s="46" t="str">
        <f>IF(data_주일!V336=1,$C60,"")</f>
        <v/>
      </c>
      <c r="H60" s="46" t="str">
        <f>IF(data_주일!W336=1,$C60,"")</f>
        <v/>
      </c>
      <c r="I60" s="46" t="str">
        <f>IF(data_주일!X336=1,$C60,"")</f>
        <v/>
      </c>
      <c r="J60" s="46" t="str">
        <f>IF(data_주일!Y336=1,$C60,"")</f>
        <v/>
      </c>
      <c r="K60" s="46" t="str">
        <f>IF(data_주일!Z335=1,$C60,"")</f>
        <v>김예솔</v>
      </c>
      <c r="L60" s="46" t="str">
        <f>IF(data_주일!AA335=1,$C60,"")</f>
        <v>김예솔</v>
      </c>
      <c r="M60" s="46" t="str">
        <f>IF(data_주일!AB335=1,$C60,"")</f>
        <v>김예솔</v>
      </c>
      <c r="N60" s="46" t="str">
        <f>IF(data_주일!AC335=1,$C60,"")</f>
        <v>김예솔</v>
      </c>
      <c r="O60" s="46" t="str">
        <f>IF(data_주일!AD335=1,$C60,"")</f>
        <v>김예솔</v>
      </c>
      <c r="P60" s="46" t="str">
        <f>IF(data_주일!AE335=1,$C60,"")</f>
        <v>김예솔</v>
      </c>
      <c r="Q60" s="46" t="str">
        <f>IF(data_주일!AF335=1,$C60,"")</f>
        <v>김예솔</v>
      </c>
      <c r="R60" s="46" t="str">
        <f>IF(data_주일!AG335=1,$C60,"")</f>
        <v>김예솔</v>
      </c>
      <c r="S60" s="46" t="str">
        <f>IF(data_주일!AH335=1,$C60,"")</f>
        <v/>
      </c>
      <c r="T60" s="46" t="str">
        <f>IF(data_주일!AI335=1,$C60,"")</f>
        <v/>
      </c>
      <c r="U60" s="46" t="str">
        <f>IF(data_주일!AJ335=1,$C60,"")</f>
        <v/>
      </c>
      <c r="V60" s="46" t="str">
        <f>IF(data_주일!AK335=1,$C60,"")</f>
        <v>김예솔</v>
      </c>
      <c r="W60" s="46" t="str">
        <f>IF(data_주일!AL335=1,$C60,"")</f>
        <v/>
      </c>
      <c r="X60" s="46" t="str">
        <f>IF(data_주일!AM335=1,$C60,"")</f>
        <v>김예솔</v>
      </c>
    </row>
    <row r="61" spans="3:24" ht="12.95" customHeight="1" x14ac:dyDescent="0.3">
      <c r="C61" s="40" t="str">
        <f>IF(data_주일!C336="","",data_주일!C336)</f>
        <v>허수희</v>
      </c>
      <c r="D61" s="86" t="str">
        <f>IF(data_주일!D336="","",data_주일!D336)</f>
        <v>이지영</v>
      </c>
      <c r="E61" s="87"/>
      <c r="F61" s="40">
        <f>IF(data_주일!B336="","",data_주일!B336)</f>
        <v>41</v>
      </c>
      <c r="G61" s="46" t="str">
        <f>IF(data_주일!V337=1,$C61,"")</f>
        <v/>
      </c>
      <c r="H61" s="46" t="str">
        <f>IF(data_주일!W337=1,$C61,"")</f>
        <v/>
      </c>
      <c r="I61" s="46" t="str">
        <f>IF(data_주일!X337=1,$C61,"")</f>
        <v/>
      </c>
      <c r="J61" s="46" t="str">
        <f>IF(data_주일!Y337=1,$C61,"")</f>
        <v/>
      </c>
      <c r="K61" s="46" t="str">
        <f>IF(data_주일!Z336=1,$C61,"")</f>
        <v/>
      </c>
      <c r="L61" s="46" t="str">
        <f>IF(data_주일!AA336=1,$C61,"")</f>
        <v/>
      </c>
      <c r="M61" s="46" t="str">
        <f>IF(data_주일!AB336=1,$C61,"")</f>
        <v/>
      </c>
      <c r="N61" s="46" t="str">
        <f>IF(data_주일!AC336=1,$C61,"")</f>
        <v/>
      </c>
      <c r="O61" s="46" t="str">
        <f>IF(data_주일!AD336=1,$C61,"")</f>
        <v/>
      </c>
      <c r="P61" s="46" t="str">
        <f>IF(data_주일!AE336=1,$C61,"")</f>
        <v/>
      </c>
      <c r="Q61" s="46" t="str">
        <f>IF(data_주일!AF336=1,$C61,"")</f>
        <v/>
      </c>
      <c r="R61" s="46" t="str">
        <f>IF(data_주일!AG336=1,$C61,"")</f>
        <v/>
      </c>
      <c r="S61" s="46" t="str">
        <f>IF(data_주일!AH336=1,$C61,"")</f>
        <v>허수희</v>
      </c>
      <c r="T61" s="46" t="str">
        <f>IF(data_주일!AI336=1,$C61,"")</f>
        <v>허수희</v>
      </c>
      <c r="U61" s="46" t="str">
        <f>IF(data_주일!AJ336=1,$C61,"")</f>
        <v>허수희</v>
      </c>
      <c r="V61" s="46" t="str">
        <f>IF(data_주일!AK336=1,$C61,"")</f>
        <v>허수희</v>
      </c>
      <c r="W61" s="46" t="str">
        <f>IF(data_주일!AL336=1,$C61,"")</f>
        <v>허수희</v>
      </c>
      <c r="X61" s="46" t="str">
        <f>IF(data_주일!AM336=1,$C61,"")</f>
        <v>허수희</v>
      </c>
    </row>
    <row r="62" spans="3:24" ht="12.95" customHeight="1" x14ac:dyDescent="0.3">
      <c r="C62" s="40" t="str">
        <f>IF(data_주일!C337="","",data_주일!C337)</f>
        <v>김성수</v>
      </c>
      <c r="D62" s="86" t="str">
        <f>IF(data_주일!D337="","",data_주일!D337)</f>
        <v>박성찬</v>
      </c>
      <c r="E62" s="87"/>
      <c r="F62" s="40">
        <f>IF(data_주일!B337="","",data_주일!B337)</f>
        <v>42</v>
      </c>
      <c r="G62" s="46" t="str">
        <f>IF(data_주일!V330=1,$C62,"")</f>
        <v/>
      </c>
      <c r="H62" s="46" t="str">
        <f>IF(data_주일!W330=1,$C62,"")</f>
        <v/>
      </c>
      <c r="I62" s="46" t="str">
        <f>IF(data_주일!X330=1,$C62,"")</f>
        <v/>
      </c>
      <c r="J62" s="46" t="str">
        <f>IF(data_주일!Y330=1,$C62,"")</f>
        <v/>
      </c>
      <c r="K62" s="46" t="str">
        <f>IF(data_주일!Z337=1,$C62,"")</f>
        <v/>
      </c>
      <c r="L62" s="46" t="str">
        <f>IF(data_주일!AA337=1,$C62,"")</f>
        <v/>
      </c>
      <c r="M62" s="46" t="str">
        <f>IF(data_주일!AB337=1,$C62,"")</f>
        <v/>
      </c>
      <c r="N62" s="46" t="str">
        <f>IF(data_주일!AC337=1,$C62,"")</f>
        <v/>
      </c>
      <c r="O62" s="46" t="str">
        <f>IF(data_주일!AD337=1,$C62,"")</f>
        <v/>
      </c>
      <c r="P62" s="46" t="str">
        <f>IF(data_주일!AE337=1,$C62,"")</f>
        <v/>
      </c>
      <c r="Q62" s="46" t="str">
        <f>IF(data_주일!AF337=1,$C62,"")</f>
        <v/>
      </c>
      <c r="R62" s="46" t="str">
        <f>IF(data_주일!AG337=1,$C62,"")</f>
        <v/>
      </c>
      <c r="S62" s="46" t="str">
        <f>IF(data_주일!AH337=1,$C62,"")</f>
        <v/>
      </c>
      <c r="T62" s="46" t="str">
        <f>IF(data_주일!AI337=1,$C62,"")</f>
        <v/>
      </c>
      <c r="U62" s="46" t="str">
        <f>IF(data_주일!AJ337=1,$C62,"")</f>
        <v/>
      </c>
      <c r="V62" s="46" t="str">
        <f>IF(data_주일!AK337=1,$C62,"")</f>
        <v/>
      </c>
      <c r="W62" s="46" t="str">
        <f>IF(data_주일!AL337=1,$C62,"")</f>
        <v>김성수</v>
      </c>
      <c r="X62" s="46" t="str">
        <f>IF(data_주일!AM337=1,$C62,"")</f>
        <v>김성수</v>
      </c>
    </row>
    <row r="63" spans="3:24" ht="12.95" customHeight="1" x14ac:dyDescent="0.3">
      <c r="C63" s="40" t="str">
        <f>IF(data_주일!C338="","",data_주일!C338)</f>
        <v>이남경</v>
      </c>
      <c r="D63" s="86" t="str">
        <f>IF(data_주일!D338="","",data_주일!D338)</f>
        <v>김성수</v>
      </c>
      <c r="E63" s="87"/>
      <c r="F63" s="40">
        <f>IF(data_주일!B338="","",data_주일!B338)</f>
        <v>42</v>
      </c>
      <c r="G63" s="46" t="str">
        <f>IF(data_주일!V331=1,$C63,"")</f>
        <v/>
      </c>
      <c r="H63" s="46" t="str">
        <f>IF(data_주일!W331=1,$C63,"")</f>
        <v/>
      </c>
      <c r="I63" s="46" t="str">
        <f>IF(data_주일!X331=1,$C63,"")</f>
        <v/>
      </c>
      <c r="J63" s="46" t="str">
        <f>IF(data_주일!Y331=1,$C63,"")</f>
        <v/>
      </c>
      <c r="K63" s="46" t="str">
        <f>IF(data_주일!Z338=1,$C63,"")</f>
        <v/>
      </c>
      <c r="L63" s="46" t="str">
        <f>IF(data_주일!AA338=1,$C63,"")</f>
        <v/>
      </c>
      <c r="M63" s="46" t="str">
        <f>IF(data_주일!AB338=1,$C63,"")</f>
        <v/>
      </c>
      <c r="N63" s="46" t="str">
        <f>IF(data_주일!AC338=1,$C63,"")</f>
        <v/>
      </c>
      <c r="O63" s="46" t="str">
        <f>IF(data_주일!AD338=1,$C63,"")</f>
        <v/>
      </c>
      <c r="P63" s="46" t="str">
        <f>IF(data_주일!AE338=1,$C63,"")</f>
        <v/>
      </c>
      <c r="Q63" s="46" t="str">
        <f>IF(data_주일!AF338=1,$C63,"")</f>
        <v/>
      </c>
      <c r="R63" s="46" t="str">
        <f>IF(data_주일!AG338=1,$C63,"")</f>
        <v/>
      </c>
      <c r="S63" s="46" t="str">
        <f>IF(data_주일!AH338=1,$C63,"")</f>
        <v/>
      </c>
      <c r="T63" s="46" t="str">
        <f>IF(data_주일!AI338=1,$C63,"")</f>
        <v/>
      </c>
      <c r="U63" s="46" t="str">
        <f>IF(data_주일!AJ338=1,$C63,"")</f>
        <v/>
      </c>
      <c r="V63" s="46" t="str">
        <f>IF(data_주일!AK338=1,$C63,"")</f>
        <v/>
      </c>
      <c r="W63" s="46" t="str">
        <f>IF(data_주일!AL338=1,$C63,"")</f>
        <v/>
      </c>
      <c r="X63" s="46" t="str">
        <f>IF(data_주일!AM338=1,$C63,"")</f>
        <v/>
      </c>
    </row>
    <row r="64" spans="3:24" ht="12.95" customHeight="1" x14ac:dyDescent="0.3">
      <c r="C64" s="40" t="str">
        <f>IF(data_주일!C339="","",data_주일!C339)</f>
        <v>김광홍</v>
      </c>
      <c r="D64" s="86" t="str">
        <f>IF(data_주일!D339="","",data_주일!D339)</f>
        <v>서영석</v>
      </c>
      <c r="E64" s="87"/>
      <c r="F64" s="40">
        <f>IF(data_주일!B339="","",data_주일!B339)</f>
        <v>43</v>
      </c>
      <c r="G64" s="46" t="str">
        <f>IF(data_주일!V332=1,$C64,"")</f>
        <v/>
      </c>
      <c r="H64" s="46" t="str">
        <f>IF(data_주일!W332=1,$C64,"")</f>
        <v/>
      </c>
      <c r="I64" s="46" t="str">
        <f>IF(data_주일!X332=1,$C64,"")</f>
        <v/>
      </c>
      <c r="J64" s="46" t="str">
        <f>IF(data_주일!Y332=1,$C64,"")</f>
        <v/>
      </c>
      <c r="K64" s="46" t="str">
        <f>IF(data_주일!Z339=1,$C64,"")</f>
        <v/>
      </c>
      <c r="L64" s="46" t="str">
        <f>IF(data_주일!AA339=1,$C64,"")</f>
        <v/>
      </c>
      <c r="M64" s="46" t="str">
        <f>IF(data_주일!AB339=1,$C64,"")</f>
        <v/>
      </c>
      <c r="N64" s="46" t="str">
        <f>IF(data_주일!AC339=1,$C64,"")</f>
        <v/>
      </c>
      <c r="O64" s="46" t="str">
        <f>IF(data_주일!AD339=1,$C64,"")</f>
        <v/>
      </c>
      <c r="P64" s="46" t="str">
        <f>IF(data_주일!AE339=1,$C64,"")</f>
        <v/>
      </c>
      <c r="Q64" s="46" t="str">
        <f>IF(data_주일!AF339=1,$C64,"")</f>
        <v/>
      </c>
      <c r="R64" s="46" t="str">
        <f>IF(data_주일!AG339=1,$C64,"")</f>
        <v/>
      </c>
      <c r="S64" s="46" t="str">
        <f>IF(data_주일!AH339=1,$C64,"")</f>
        <v/>
      </c>
      <c r="T64" s="46" t="str">
        <f>IF(data_주일!AI339=1,$C64,"")</f>
        <v/>
      </c>
      <c r="U64" s="46" t="str">
        <f>IF(data_주일!AJ339=1,$C64,"")</f>
        <v/>
      </c>
      <c r="V64" s="46" t="str">
        <f>IF(data_주일!AK339=1,$C64,"")</f>
        <v/>
      </c>
      <c r="W64" s="46" t="str">
        <f>IF(data_주일!AL339=1,$C64,"")</f>
        <v/>
      </c>
      <c r="X64" s="46" t="str">
        <f>IF(data_주일!AM339=1,$C64,"")</f>
        <v/>
      </c>
    </row>
    <row r="65" spans="3:24" ht="12.95" customHeight="1" x14ac:dyDescent="0.3">
      <c r="C65" s="40" t="str">
        <f>IF(data_주일!C340="","",data_주일!C340)</f>
        <v/>
      </c>
      <c r="D65" s="86" t="str">
        <f>IF(data_주일!D340="","",data_주일!D340)</f>
        <v/>
      </c>
      <c r="E65" s="87"/>
      <c r="F65" s="40" t="str">
        <f>IF(data_주일!B340="","",data_주일!B340)</f>
        <v/>
      </c>
      <c r="G65" s="46" t="str">
        <f>IF(data_주일!V335=1,$C65,"")</f>
        <v/>
      </c>
      <c r="H65" s="46" t="str">
        <f>IF(data_주일!W335=1,$C65,"")</f>
        <v/>
      </c>
      <c r="I65" s="46" t="str">
        <f>IF(data_주일!X335=1,$C65,"")</f>
        <v/>
      </c>
      <c r="J65" s="46" t="str">
        <f>IF(data_주일!Y335=1,$C65,"")</f>
        <v/>
      </c>
      <c r="K65" s="46" t="str">
        <f>IF(data_주일!Z340=1,$C65,"")</f>
        <v/>
      </c>
      <c r="L65" s="46" t="str">
        <f>IF(data_주일!AA340=1,$C65,"")</f>
        <v/>
      </c>
      <c r="M65" s="46" t="str">
        <f>IF(data_주일!AB340=1,$C65,"")</f>
        <v/>
      </c>
      <c r="N65" s="46" t="str">
        <f>IF(data_주일!AC340=1,$C65,"")</f>
        <v/>
      </c>
      <c r="O65" s="46" t="str">
        <f>IF(data_주일!AD340=1,$C65,"")</f>
        <v/>
      </c>
      <c r="P65" s="46" t="str">
        <f>IF(data_주일!AE340=1,$C65,"")</f>
        <v/>
      </c>
      <c r="Q65" s="46" t="str">
        <f>IF(data_주일!AF340=1,$C65,"")</f>
        <v/>
      </c>
      <c r="R65" s="46" t="str">
        <f>IF(data_주일!AG340=1,$C65,"")</f>
        <v/>
      </c>
      <c r="S65" s="46" t="str">
        <f>IF(data_주일!AH340=1,$C65,"")</f>
        <v/>
      </c>
      <c r="T65" s="46" t="str">
        <f>IF(data_주일!AI340=1,$C65,"")</f>
        <v/>
      </c>
      <c r="U65" s="46" t="str">
        <f>IF(data_주일!AJ340=1,$C65,"")</f>
        <v/>
      </c>
      <c r="V65" s="46" t="str">
        <f>IF(data_주일!AK340=1,$C65,"")</f>
        <v/>
      </c>
      <c r="W65" s="46" t="str">
        <f>IF(data_주일!AL340=1,$C65,"")</f>
        <v/>
      </c>
      <c r="X65" s="46" t="str">
        <f>IF(data_주일!AM340=1,$C65,"")</f>
        <v/>
      </c>
    </row>
    <row r="66" spans="3:24" ht="12.95" customHeight="1" x14ac:dyDescent="0.3">
      <c r="C66" s="40" t="str">
        <f>IF(data_주일!C341="","",data_주일!C341)</f>
        <v/>
      </c>
      <c r="D66" s="86" t="str">
        <f>IF(data_주일!D341="","",data_주일!D341)</f>
        <v/>
      </c>
      <c r="E66" s="87"/>
      <c r="F66" s="40" t="str">
        <f>IF(data_주일!B341="","",data_주일!B341)</f>
        <v/>
      </c>
      <c r="G66" s="46" t="str">
        <f>IF(data_주일!V336=1,$C66,"")</f>
        <v/>
      </c>
      <c r="H66" s="46" t="str">
        <f>IF(data_주일!W336=1,$C66,"")</f>
        <v/>
      </c>
      <c r="I66" s="46" t="str">
        <f>IF(data_주일!X336=1,$C66,"")</f>
        <v/>
      </c>
      <c r="J66" s="46" t="str">
        <f>IF(data_주일!Y336=1,$C66,"")</f>
        <v/>
      </c>
      <c r="K66" s="46" t="str">
        <f>IF(data_주일!Z341=1,$C66,"")</f>
        <v/>
      </c>
      <c r="L66" s="46" t="str">
        <f>IF(data_주일!AA341=1,$C66,"")</f>
        <v/>
      </c>
      <c r="M66" s="46" t="str">
        <f>IF(data_주일!AB341=1,$C66,"")</f>
        <v/>
      </c>
      <c r="N66" s="46" t="str">
        <f>IF(data_주일!AC341=1,$C66,"")</f>
        <v/>
      </c>
      <c r="O66" s="46" t="str">
        <f>IF(data_주일!AD341=1,$C66,"")</f>
        <v/>
      </c>
      <c r="P66" s="46" t="str">
        <f>IF(data_주일!AE341=1,$C66,"")</f>
        <v/>
      </c>
      <c r="Q66" s="46" t="str">
        <f>IF(data_주일!AF341=1,$C66,"")</f>
        <v/>
      </c>
      <c r="R66" s="46" t="str">
        <f>IF(data_주일!AG341=1,$C66,"")</f>
        <v/>
      </c>
      <c r="S66" s="46" t="str">
        <f>IF(data_주일!AH341=1,$C66,"")</f>
        <v/>
      </c>
      <c r="T66" s="46" t="str">
        <f>IF(data_주일!AI341=1,$C66,"")</f>
        <v/>
      </c>
      <c r="U66" s="46" t="str">
        <f>IF(data_주일!AJ341=1,$C66,"")</f>
        <v/>
      </c>
      <c r="V66" s="46" t="str">
        <f>IF(data_주일!AK341=1,$C66,"")</f>
        <v/>
      </c>
      <c r="W66" s="46" t="str">
        <f>IF(data_주일!AL341=1,$C66,"")</f>
        <v/>
      </c>
      <c r="X66" s="46" t="str">
        <f>IF(data_주일!AM341=1,$C66,"")</f>
        <v/>
      </c>
    </row>
    <row r="67" spans="3:24" ht="12.95" customHeight="1" x14ac:dyDescent="0.3">
      <c r="C67" s="40" t="str">
        <f>IF(data_주일!C342="","",data_주일!C342)</f>
        <v/>
      </c>
      <c r="D67" s="86" t="str">
        <f>IF(data_주일!D342="","",data_주일!D342)</f>
        <v/>
      </c>
      <c r="E67" s="87"/>
      <c r="F67" s="40" t="str">
        <f>IF(data_주일!B342="","",data_주일!B342)</f>
        <v/>
      </c>
      <c r="G67" s="46" t="str">
        <f>IF(data_주일!V337=1,$C67,"")</f>
        <v/>
      </c>
      <c r="H67" s="46" t="str">
        <f>IF(data_주일!W337=1,$C67,"")</f>
        <v/>
      </c>
      <c r="I67" s="46" t="str">
        <f>IF(data_주일!X337=1,$C67,"")</f>
        <v/>
      </c>
      <c r="J67" s="46" t="str">
        <f>IF(data_주일!Y337=1,$C67,"")</f>
        <v/>
      </c>
      <c r="K67" s="46" t="str">
        <f>IF(data_주일!Z342=1,$C67,"")</f>
        <v/>
      </c>
      <c r="L67" s="46" t="str">
        <f>IF(data_주일!AA342=1,$C67,"")</f>
        <v/>
      </c>
      <c r="M67" s="46" t="str">
        <f>IF(data_주일!AB342=1,$C67,"")</f>
        <v/>
      </c>
      <c r="N67" s="46" t="str">
        <f>IF(data_주일!AC342=1,$C67,"")</f>
        <v/>
      </c>
      <c r="O67" s="46" t="str">
        <f>IF(data_주일!AD342=1,$C67,"")</f>
        <v/>
      </c>
      <c r="P67" s="46" t="str">
        <f>IF(data_주일!AE342=1,$C67,"")</f>
        <v/>
      </c>
      <c r="Q67" s="46" t="str">
        <f>IF(data_주일!AF342=1,$C67,"")</f>
        <v/>
      </c>
      <c r="R67" s="46" t="str">
        <f>IF(data_주일!AG342=1,$C67,"")</f>
        <v/>
      </c>
      <c r="S67" s="46" t="str">
        <f>IF(data_주일!AH342=1,$C67,"")</f>
        <v/>
      </c>
      <c r="T67" s="46" t="str">
        <f>IF(data_주일!AI342=1,$C67,"")</f>
        <v/>
      </c>
      <c r="U67" s="46" t="str">
        <f>IF(data_주일!AJ342=1,$C67,"")</f>
        <v/>
      </c>
      <c r="V67" s="46" t="str">
        <f>IF(data_주일!AK342=1,$C67,"")</f>
        <v/>
      </c>
      <c r="W67" s="46" t="str">
        <f>IF(data_주일!AL342=1,$C67,"")</f>
        <v/>
      </c>
      <c r="X67" s="46" t="str">
        <f>IF(data_주일!AM342=1,$C67,"")</f>
        <v/>
      </c>
    </row>
    <row r="68" spans="3:24" ht="12.95" customHeight="1" x14ac:dyDescent="0.3">
      <c r="C68" s="110" t="s">
        <v>360</v>
      </c>
      <c r="D68" s="111"/>
      <c r="E68" s="111"/>
      <c r="F68" s="112"/>
      <c r="G68" s="56">
        <f t="shared" ref="G68:J68" si="12">COUNTA(G43:G58)-COUNTIF(G43:G58,"")</f>
        <v>1</v>
      </c>
      <c r="H68" s="56">
        <f t="shared" si="12"/>
        <v>0</v>
      </c>
      <c r="I68" s="56">
        <f t="shared" si="12"/>
        <v>0</v>
      </c>
      <c r="J68" s="56">
        <f t="shared" si="12"/>
        <v>1</v>
      </c>
      <c r="K68" s="56">
        <f>COUNTA(K43:K67)-COUNTIF(K43:K67,"")</f>
        <v>10</v>
      </c>
      <c r="L68" s="56">
        <f t="shared" ref="L68:X68" si="13">COUNTA(L43:L67)-COUNTIF(L43:L67,"")</f>
        <v>3</v>
      </c>
      <c r="M68" s="56">
        <f t="shared" si="13"/>
        <v>5</v>
      </c>
      <c r="N68" s="56">
        <f t="shared" si="13"/>
        <v>8</v>
      </c>
      <c r="O68" s="56">
        <f t="shared" si="13"/>
        <v>4</v>
      </c>
      <c r="P68" s="56">
        <f t="shared" si="13"/>
        <v>5</v>
      </c>
      <c r="Q68" s="56">
        <f t="shared" si="13"/>
        <v>5</v>
      </c>
      <c r="R68" s="56">
        <f t="shared" si="13"/>
        <v>3</v>
      </c>
      <c r="S68" s="56">
        <f t="shared" si="13"/>
        <v>6</v>
      </c>
      <c r="T68" s="56">
        <f t="shared" si="13"/>
        <v>5</v>
      </c>
      <c r="U68" s="56">
        <f t="shared" si="13"/>
        <v>8</v>
      </c>
      <c r="V68" s="56">
        <f t="shared" si="13"/>
        <v>6</v>
      </c>
      <c r="W68" s="56">
        <f t="shared" si="13"/>
        <v>6</v>
      </c>
      <c r="X68" s="56">
        <f t="shared" si="13"/>
        <v>5</v>
      </c>
    </row>
    <row r="69" spans="3:24" ht="22.9" customHeight="1" x14ac:dyDescent="0.3">
      <c r="C69" s="106" t="s">
        <v>386</v>
      </c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</row>
    <row r="70" spans="3:24" ht="4.9000000000000004" customHeight="1" x14ac:dyDescent="0.3"/>
  </sheetData>
  <mergeCells count="46">
    <mergeCell ref="D67:E67"/>
    <mergeCell ref="D61:E61"/>
    <mergeCell ref="D60:E60"/>
    <mergeCell ref="D66:E66"/>
    <mergeCell ref="D65:E65"/>
    <mergeCell ref="D64:E64"/>
    <mergeCell ref="D63:E63"/>
    <mergeCell ref="D62:E62"/>
    <mergeCell ref="D24:E24"/>
    <mergeCell ref="D19:E19"/>
    <mergeCell ref="D20:E20"/>
    <mergeCell ref="D21:E21"/>
    <mergeCell ref="D22:E22"/>
    <mergeCell ref="D23:E23"/>
    <mergeCell ref="C68:F68"/>
    <mergeCell ref="C69:X69"/>
    <mergeCell ref="D58:E58"/>
    <mergeCell ref="D57:E57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9:E59"/>
    <mergeCell ref="D45:E45"/>
    <mergeCell ref="C13:E13"/>
    <mergeCell ref="C14:E14"/>
    <mergeCell ref="C29:X29"/>
    <mergeCell ref="C32:X32"/>
    <mergeCell ref="C37:X37"/>
    <mergeCell ref="D42:E42"/>
    <mergeCell ref="D43:E43"/>
    <mergeCell ref="D44:E44"/>
    <mergeCell ref="D25:E25"/>
    <mergeCell ref="D15:E15"/>
    <mergeCell ref="D16:E16"/>
    <mergeCell ref="D17:E17"/>
    <mergeCell ref="D18:E18"/>
    <mergeCell ref="C28:F28"/>
    <mergeCell ref="C26:E27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66" fitToHeight="0" orientation="landscape" r:id="rId1"/>
  <rowBreaks count="1" manualBreakCount="1">
    <brk id="30" max="2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FB74-A92E-41A3-9C1A-C20383D7FC6A}">
  <sheetPr>
    <pageSetUpPr fitToPage="1"/>
  </sheetPr>
  <dimension ref="C1:Y80"/>
  <sheetViews>
    <sheetView showGridLines="0" tabSelected="1" topLeftCell="A41" zoomScale="90" zoomScaleNormal="90" zoomScaleSheetLayoutView="85" workbookViewId="0">
      <selection activeCell="T14" sqref="T14"/>
    </sheetView>
  </sheetViews>
  <sheetFormatPr defaultColWidth="9" defaultRowHeight="16.5" x14ac:dyDescent="0.3"/>
  <cols>
    <col min="1" max="2" width="1.75" style="29" customWidth="1"/>
    <col min="3" max="3" width="7.75" style="28" customWidth="1"/>
    <col min="4" max="5" width="3.75" style="28" customWidth="1"/>
    <col min="6" max="6" width="10.25" style="28" customWidth="1"/>
    <col min="7" max="15" width="9.75" style="28" customWidth="1"/>
    <col min="16" max="24" width="9.75" style="29" customWidth="1"/>
    <col min="25" max="25" width="13.75" style="66" customWidth="1"/>
    <col min="26" max="26" width="1.75" style="29" customWidth="1"/>
    <col min="27" max="16384" width="9" style="29"/>
  </cols>
  <sheetData>
    <row r="1" spans="3:25" ht="16.149999999999999" customHeight="1" x14ac:dyDescent="0.3"/>
    <row r="2" spans="3:25" ht="16.149999999999999" customHeight="1" x14ac:dyDescent="0.3"/>
    <row r="3" spans="3:25" ht="16.149999999999999" customHeight="1" x14ac:dyDescent="0.3"/>
    <row r="4" spans="3:25" ht="16.149999999999999" customHeight="1" x14ac:dyDescent="0.3"/>
    <row r="5" spans="3:25" ht="16.149999999999999" customHeight="1" x14ac:dyDescent="0.3"/>
    <row r="6" spans="3:25" ht="16.149999999999999" customHeight="1" x14ac:dyDescent="0.3"/>
    <row r="7" spans="3:25" ht="16.149999999999999" customHeight="1" x14ac:dyDescent="0.3"/>
    <row r="8" spans="3:25" ht="16.149999999999999" customHeight="1" x14ac:dyDescent="0.3"/>
    <row r="9" spans="3:25" ht="16.149999999999999" customHeight="1" x14ac:dyDescent="0.3"/>
    <row r="10" spans="3:25" ht="16.149999999999999" customHeight="1" x14ac:dyDescent="0.3"/>
    <row r="11" spans="3:25" ht="16.149999999999999" customHeight="1" x14ac:dyDescent="0.3"/>
    <row r="12" spans="3:25" ht="41.45" customHeight="1" x14ac:dyDescent="0.3"/>
    <row r="13" spans="3:25" ht="16.149999999999999" customHeight="1" x14ac:dyDescent="0.3">
      <c r="C13" s="90" t="s">
        <v>346</v>
      </c>
      <c r="D13" s="91"/>
      <c r="E13" s="92"/>
      <c r="F13" s="78" t="s">
        <v>341</v>
      </c>
      <c r="G13" s="6">
        <v>46180</v>
      </c>
      <c r="H13" s="6">
        <v>46187</v>
      </c>
      <c r="I13" s="6">
        <v>46194</v>
      </c>
      <c r="J13" s="6">
        <v>46201</v>
      </c>
      <c r="K13" s="6">
        <v>46208</v>
      </c>
      <c r="L13" s="6">
        <v>46215</v>
      </c>
      <c r="M13" s="6">
        <v>46222</v>
      </c>
      <c r="N13" s="6" t="s">
        <v>404</v>
      </c>
      <c r="O13" s="6">
        <v>46236</v>
      </c>
      <c r="P13" s="6">
        <v>46243</v>
      </c>
      <c r="Q13" s="6">
        <v>46250</v>
      </c>
      <c r="R13" s="6">
        <v>46257</v>
      </c>
      <c r="S13" s="6">
        <v>46264</v>
      </c>
      <c r="T13" s="79" t="s">
        <v>393</v>
      </c>
      <c r="Y13" s="29"/>
    </row>
    <row r="14" spans="3:25" ht="16.149999999999999" customHeight="1" x14ac:dyDescent="0.3">
      <c r="C14" s="93" t="s">
        <v>342</v>
      </c>
      <c r="D14" s="94"/>
      <c r="E14" s="94"/>
      <c r="F14" s="67">
        <v>288</v>
      </c>
      <c r="G14" s="84">
        <f t="shared" ref="G14:N14" si="0">IFERROR(SUM(G16:G25),"")</f>
        <v>217</v>
      </c>
      <c r="H14" s="84">
        <f t="shared" si="0"/>
        <v>207</v>
      </c>
      <c r="I14" s="84">
        <f t="shared" si="0"/>
        <v>201</v>
      </c>
      <c r="J14" s="84">
        <f t="shared" si="0"/>
        <v>204</v>
      </c>
      <c r="K14" s="84">
        <f t="shared" si="0"/>
        <v>212</v>
      </c>
      <c r="L14" s="84">
        <f t="shared" si="0"/>
        <v>212</v>
      </c>
      <c r="M14" s="84">
        <f>IFERROR(SUM(M16:M25),"")</f>
        <v>223</v>
      </c>
      <c r="N14" s="84">
        <f t="shared" si="0"/>
        <v>0</v>
      </c>
      <c r="O14" s="84">
        <f t="shared" ref="O14:S14" si="1">IFERROR(SUM(O16:O25),"")</f>
        <v>212</v>
      </c>
      <c r="P14" s="84">
        <f t="shared" si="1"/>
        <v>212</v>
      </c>
      <c r="Q14" s="84">
        <f t="shared" si="1"/>
        <v>195</v>
      </c>
      <c r="R14" s="84">
        <f t="shared" si="1"/>
        <v>208</v>
      </c>
      <c r="S14" s="84">
        <f t="shared" si="1"/>
        <v>0</v>
      </c>
      <c r="T14" s="80">
        <f>SUM(G14:S14)/(COUNTA(G14:S14)-COUNTIF(G14:S14,0))</f>
        <v>209.36363636363637</v>
      </c>
      <c r="Y14" s="29"/>
    </row>
    <row r="15" spans="3:25" ht="16.149999999999999" customHeight="1" x14ac:dyDescent="0.3">
      <c r="C15" s="69"/>
      <c r="D15" s="95" t="s">
        <v>390</v>
      </c>
      <c r="E15" s="95"/>
      <c r="F15" s="70" t="s">
        <v>389</v>
      </c>
      <c r="G15" s="71">
        <f t="shared" ref="G15:N15" si="2">IFERROR(G14/$F$14,"")</f>
        <v>0.75347222222222221</v>
      </c>
      <c r="H15" s="71">
        <f t="shared" si="2"/>
        <v>0.71875</v>
      </c>
      <c r="I15" s="71">
        <f t="shared" si="2"/>
        <v>0.69791666666666663</v>
      </c>
      <c r="J15" s="71">
        <f t="shared" si="2"/>
        <v>0.70833333333333337</v>
      </c>
      <c r="K15" s="71">
        <f t="shared" si="2"/>
        <v>0.73611111111111116</v>
      </c>
      <c r="L15" s="71">
        <f t="shared" si="2"/>
        <v>0.73611111111111116</v>
      </c>
      <c r="M15" s="71">
        <f t="shared" si="2"/>
        <v>0.77430555555555558</v>
      </c>
      <c r="N15" s="71">
        <f t="shared" si="2"/>
        <v>0</v>
      </c>
      <c r="O15" s="71">
        <f t="shared" ref="O15:S15" si="3">IFERROR(O14/$F$14,"")</f>
        <v>0.73611111111111116</v>
      </c>
      <c r="P15" s="71">
        <f t="shared" si="3"/>
        <v>0.73611111111111116</v>
      </c>
      <c r="Q15" s="71">
        <f t="shared" si="3"/>
        <v>0.67708333333333337</v>
      </c>
      <c r="R15" s="71">
        <f t="shared" si="3"/>
        <v>0.72222222222222221</v>
      </c>
      <c r="S15" s="71">
        <f t="shared" si="3"/>
        <v>0</v>
      </c>
      <c r="T15" s="81">
        <f>AVERAGE(G15:P15)</f>
        <v>0.6597222222222221</v>
      </c>
      <c r="Y15" s="29"/>
    </row>
    <row r="16" spans="3:25" ht="16.149999999999999" customHeight="1" x14ac:dyDescent="0.3">
      <c r="C16" s="72"/>
      <c r="D16" s="88">
        <v>11</v>
      </c>
      <c r="E16" s="89"/>
      <c r="F16" s="73">
        <v>39</v>
      </c>
      <c r="G16" s="74">
        <f>IF(SUMIF(data_주일!$B11:$B303,$D16,data_주일!AE$11:AE$303)&gt;0,SUMIF(data_주일!$B11:$B303,$D16,data_주일!AE$11:AE$303),"")</f>
        <v>28</v>
      </c>
      <c r="H16" s="74">
        <f>IF(SUMIF(data_주일!$B11:$B303,$D16,data_주일!AF$11:AF$303)&gt;0,SUMIF(data_주일!$B11:$B303,$D16,data_주일!AF$11:AF$303),"")</f>
        <v>24</v>
      </c>
      <c r="I16" s="74">
        <f>IF(SUMIF(data_주일!$B11:$B303,$D16,data_주일!AG$11:AG$303)&gt;0,SUMIF(data_주일!$B11:$B303,$D16,data_주일!AG$11:AG$303),"")</f>
        <v>23</v>
      </c>
      <c r="J16" s="74">
        <f>IF(SUMIF(data_주일!$B11:$B303,$D16,data_주일!AH$11:AH$303)&gt;0,SUMIF(data_주일!$B11:$B303,$D16,data_주일!AH$11:AH$303),"")</f>
        <v>26</v>
      </c>
      <c r="K16" s="74">
        <f>IF(SUMIF(data_주일!$B11:$B303,$D16,data_주일!AI$11:AI$303)&gt;0,SUMIF(data_주일!$B11:$B303,$D16,data_주일!AI$11:AI$303),"")</f>
        <v>23</v>
      </c>
      <c r="L16" s="74">
        <f>IF(SUMIF(data_주일!$B11:$B303,$D16,data_주일!AJ$11:AJ$303)&gt;0,SUMIF(data_주일!$B11:$B303,$D16,data_주일!AJ$11:AJ$303),"")</f>
        <v>26</v>
      </c>
      <c r="M16" s="74">
        <f>IF(SUMIF(data_주일!$B11:$B303,$D16,data_주일!AK$11:AK$303)&gt;0,SUMIF(data_주일!$B11:$B303,$D16,data_주일!AK$11:AK$303),"")</f>
        <v>28</v>
      </c>
      <c r="N16" s="74" t="str">
        <f>IF(SUMIF(data_주일!$B11:$B303,$D16,data_주일!AL$11:AL$303)&gt;0,SUMIF(data_주일!$B11:$B303,$D16,data_주일!AL$11:AL$303),"")</f>
        <v/>
      </c>
      <c r="O16" s="74">
        <f>IF(SUMIF(data_주일!$B11:$B303,$D16,data_주일!AM$11:AM$303)&gt;0,SUMIF(data_주일!$B11:$B303,$D16,data_주일!AM$11:AM$303),"")</f>
        <v>27</v>
      </c>
      <c r="P16" s="74">
        <f>IF(SUMIF(data_주일!$B11:$B303,$D16,data_주일!AN$11:AN$303)&gt;0,SUMIF(data_주일!$B11:$B303,$D16,data_주일!AN$11:AN$303),"")</f>
        <v>24</v>
      </c>
      <c r="Q16" s="74">
        <f>IF(SUMIF(data_주일!$B11:$B303,$D16,data_주일!AO$11:AO$303)&gt;0,SUMIF(data_주일!$B11:$B303,$D16,data_주일!AO$11:AO$303),"")</f>
        <v>20</v>
      </c>
      <c r="R16" s="74">
        <f>IF(SUMIF(data_주일!$B11:$B303,$D16,data_주일!AP$11:AP$303)&gt;0,SUMIF(data_주일!$B11:$B303,$D16,data_주일!AP$11:AP$303),"")</f>
        <v>28</v>
      </c>
      <c r="S16" s="74" t="str">
        <f>IF(SUMIF(data_주일!$B11:$B303,$D16,data_주일!AQ$11:AQ$303)&gt;0,SUMIF(data_주일!$B11:$B303,$D16,data_주일!AQ$11:AQ$303),"")</f>
        <v/>
      </c>
      <c r="T16" s="82">
        <f t="shared" ref="T16:T25" si="4">SUM(G16:S16)/(COUNTA(G16:S16)-COUNTIF(G16:S16,""))</f>
        <v>25.181818181818183</v>
      </c>
      <c r="Y16" s="29"/>
    </row>
    <row r="17" spans="3:25" ht="16.149999999999999" customHeight="1" x14ac:dyDescent="0.3">
      <c r="C17" s="72"/>
      <c r="D17" s="88">
        <v>12</v>
      </c>
      <c r="E17" s="89"/>
      <c r="F17" s="73">
        <v>27</v>
      </c>
      <c r="G17" s="74">
        <f>IF(SUMIF(data_주일!$B12:$B304,$D17,data_주일!AE$11:AE$303)&gt;0,SUMIF(data_주일!$B12:$B304,$D17,data_주일!AE$11:AE$303),"")</f>
        <v>26</v>
      </c>
      <c r="H17" s="74">
        <f>IF(SUMIF(data_주일!$B12:$B304,$D17,data_주일!AF$11:AF$303)&gt;0,SUMIF(data_주일!$B12:$B304,$D17,data_주일!AF$11:AF$303),"")</f>
        <v>28</v>
      </c>
      <c r="I17" s="74">
        <f>IF(SUMIF(data_주일!$B12:$B304,$D17,data_주일!AG$11:AG$303)&gt;0,SUMIF(data_주일!$B12:$B304,$D17,data_주일!AG$11:AG$303),"")</f>
        <v>25</v>
      </c>
      <c r="J17" s="74">
        <f>IF(SUMIF(data_주일!$B12:$B304,$D17,data_주일!AH$11:AH$303)&gt;0,SUMIF(data_주일!$B12:$B304,$D17,data_주일!AH$11:AH$303),"")</f>
        <v>26</v>
      </c>
      <c r="K17" s="74">
        <f>IF(SUMIF(data_주일!$B12:$B304,$D17,data_주일!AI$11:AI$303)&gt;0,SUMIF(data_주일!$B12:$B304,$D17,data_주일!AI$11:AI$303),"")</f>
        <v>26</v>
      </c>
      <c r="L17" s="74">
        <f>IF(SUMIF(data_주일!$B12:$B304,$D17,data_주일!AJ$11:AJ$303)&gt;0,SUMIF(data_주일!$B12:$B304,$D17,data_주일!AJ$11:AJ$303),"")</f>
        <v>27</v>
      </c>
      <c r="M17" s="74">
        <f>IF(SUMIF(data_주일!$B12:$B304,$D17,data_주일!AK$11:AK$303)&gt;0,SUMIF(data_주일!$B12:$B304,$D17,data_주일!AK$11:AK$303),"")</f>
        <v>27</v>
      </c>
      <c r="N17" s="74" t="str">
        <f>IF(SUMIF(data_주일!$B12:$B304,$D17,data_주일!AL$11:AL$303)&gt;0,SUMIF(data_주일!$B12:$B304,$D17,data_주일!AL$11:AL$303),"")</f>
        <v/>
      </c>
      <c r="O17" s="74">
        <f>IF(SUMIF(data_주일!$B12:$B304,$D17,data_주일!AM$11:AM$303)&gt;0,SUMIF(data_주일!$B12:$B304,$D17,data_주일!AM$11:AM$303),"")</f>
        <v>25</v>
      </c>
      <c r="P17" s="74">
        <f>IF(SUMIF(data_주일!$B12:$B304,$D17,data_주일!AN$11:AN$303)&gt;0,SUMIF(data_주일!$B12:$B304,$D17,data_주일!AN$11:AN$303),"")</f>
        <v>27</v>
      </c>
      <c r="Q17" s="74">
        <f>IF(SUMIF(data_주일!$B12:$B304,$D17,data_주일!AO$11:AO$303)&gt;0,SUMIF(data_주일!$B12:$B304,$D17,data_주일!AO$11:AO$303),"")</f>
        <v>25</v>
      </c>
      <c r="R17" s="74">
        <f>IF(SUMIF(data_주일!$B12:$B304,$D17,data_주일!AP$11:AP$303)&gt;0,SUMIF(data_주일!$B12:$B304,$D17,data_주일!AP$11:AP$303),"")</f>
        <v>27</v>
      </c>
      <c r="S17" s="74" t="str">
        <f>IF(SUMIF(data_주일!$B12:$B304,$D17,data_주일!AQ$11:AQ$303)&gt;0,SUMIF(data_주일!$B12:$B304,$D17,data_주일!AQ$11:AQ$303),"")</f>
        <v/>
      </c>
      <c r="T17" s="82">
        <f t="shared" si="4"/>
        <v>26.272727272727273</v>
      </c>
      <c r="Y17" s="29"/>
    </row>
    <row r="18" spans="3:25" ht="16.149999999999999" customHeight="1" x14ac:dyDescent="0.3">
      <c r="C18" s="72"/>
      <c r="D18" s="88">
        <v>21</v>
      </c>
      <c r="E18" s="89"/>
      <c r="F18" s="73">
        <v>30</v>
      </c>
      <c r="G18" s="74">
        <f>IF(SUMIF(data_주일!$B13:$B305,$D18,data_주일!AE$11:AE$303)&gt;0,SUMIF(data_주일!$B13:$B305,$D18,data_주일!AE$11:AE$303),"")</f>
        <v>23</v>
      </c>
      <c r="H18" s="74">
        <f>IF(SUMIF(data_주일!$B13:$B305,$D18,data_주일!AF$11:AF$303)&gt;0,SUMIF(data_주일!$B13:$B305,$D18,data_주일!AF$11:AF$303),"")</f>
        <v>19</v>
      </c>
      <c r="I18" s="74">
        <f>IF(SUMIF(data_주일!$B13:$B305,$D18,data_주일!AG$11:AG$303)&gt;0,SUMIF(data_주일!$B13:$B305,$D18,data_주일!AG$11:AG$303),"")</f>
        <v>20</v>
      </c>
      <c r="J18" s="74">
        <f>IF(SUMIF(data_주일!$B13:$B305,$D18,data_주일!AH$11:AH$303)&gt;0,SUMIF(data_주일!$B13:$B305,$D18,data_주일!AH$11:AH$303),"")</f>
        <v>23</v>
      </c>
      <c r="K18" s="74">
        <f>IF(SUMIF(data_주일!$B13:$B305,$D18,data_주일!AI$11:AI$303)&gt;0,SUMIF(data_주일!$B13:$B305,$D18,data_주일!AI$11:AI$303),"")</f>
        <v>24</v>
      </c>
      <c r="L18" s="74">
        <f>IF(SUMIF(data_주일!$B13:$B305,$D18,data_주일!AJ$11:AJ$303)&gt;0,SUMIF(data_주일!$B13:$B305,$D18,data_주일!AJ$11:AJ$303),"")</f>
        <v>23</v>
      </c>
      <c r="M18" s="74">
        <f>IF(SUMIF(data_주일!$B13:$B305,$D18,data_주일!AK$11:AK$303)&gt;0,SUMIF(data_주일!$B13:$B305,$D18,data_주일!AK$11:AK$303),"")</f>
        <v>26</v>
      </c>
      <c r="N18" s="74" t="str">
        <f>IF(SUMIF(data_주일!$B13:$B305,$D18,data_주일!AL$11:AL$303)&gt;0,SUMIF(data_주일!$B13:$B305,$D18,data_주일!AL$11:AL$303),"")</f>
        <v/>
      </c>
      <c r="O18" s="74">
        <f>IF(SUMIF(data_주일!$B13:$B305,$D18,data_주일!AM$11:AM$303)&gt;0,SUMIF(data_주일!$B13:$B305,$D18,data_주일!AM$11:AM$303),"")</f>
        <v>26</v>
      </c>
      <c r="P18" s="74">
        <f>IF(SUMIF(data_주일!$B13:$B305,$D18,data_주일!AN$11:AN$303)&gt;0,SUMIF(data_주일!$B13:$B305,$D18,data_주일!AN$11:AN$303),"")</f>
        <v>25</v>
      </c>
      <c r="Q18" s="74">
        <f>IF(SUMIF(data_주일!$B13:$B305,$D18,data_주일!AO$11:AO$303)&gt;0,SUMIF(data_주일!$B13:$B305,$D18,data_주일!AO$11:AO$303),"")</f>
        <v>18</v>
      </c>
      <c r="R18" s="74">
        <f>IF(SUMIF(data_주일!$B13:$B305,$D18,data_주일!AP$11:AP$303)&gt;0,SUMIF(data_주일!$B13:$B305,$D18,data_주일!AP$11:AP$303),"")</f>
        <v>24</v>
      </c>
      <c r="S18" s="74" t="str">
        <f>IF(SUMIF(data_주일!$B13:$B305,$D18,data_주일!AQ$11:AQ$303)&gt;0,SUMIF(data_주일!$B13:$B305,$D18,data_주일!AQ$11:AQ$303),"")</f>
        <v/>
      </c>
      <c r="T18" s="82">
        <f t="shared" si="4"/>
        <v>22.818181818181817</v>
      </c>
      <c r="Y18" s="29"/>
    </row>
    <row r="19" spans="3:25" ht="16.149999999999999" customHeight="1" x14ac:dyDescent="0.3">
      <c r="C19" s="72"/>
      <c r="D19" s="88">
        <v>22</v>
      </c>
      <c r="E19" s="89"/>
      <c r="F19" s="73">
        <v>23</v>
      </c>
      <c r="G19" s="74">
        <f>IF(SUMIF(data_주일!$B14:$B306,$D19,data_주일!AE$11:AE$303)&gt;0,SUMIF(data_주일!$B14:$B306,$D19,data_주일!AE$11:AE$303),"")</f>
        <v>15</v>
      </c>
      <c r="H19" s="74">
        <f>IF(SUMIF(data_주일!$B14:$B306,$D19,data_주일!AF$11:AF$303)&gt;0,SUMIF(data_주일!$B14:$B306,$D19,data_주일!AF$11:AF$303),"")</f>
        <v>14</v>
      </c>
      <c r="I19" s="74">
        <f>IF(SUMIF(data_주일!$B14:$B306,$D19,data_주일!AG$11:AG$303)&gt;0,SUMIF(data_주일!$B14:$B306,$D19,data_주일!AG$11:AG$303),"")</f>
        <v>16</v>
      </c>
      <c r="J19" s="74">
        <f>IF(SUMIF(data_주일!$B14:$B306,$D19,data_주일!AH$11:AH$303)&gt;0,SUMIF(data_주일!$B14:$B306,$D19,data_주일!AH$11:AH$303),"")</f>
        <v>16</v>
      </c>
      <c r="K19" s="74">
        <f>IF(SUMIF(data_주일!$B14:$B306,$D19,data_주일!AI$11:AI$303)&gt;0,SUMIF(data_주일!$B14:$B306,$D19,data_주일!AI$11:AI$303),"")</f>
        <v>16</v>
      </c>
      <c r="L19" s="74">
        <f>IF(SUMIF(data_주일!$B14:$B306,$D19,data_주일!AJ$11:AJ$303)&gt;0,SUMIF(data_주일!$B14:$B306,$D19,data_주일!AJ$11:AJ$303),"")</f>
        <v>19</v>
      </c>
      <c r="M19" s="74">
        <f>IF(SUMIF(data_주일!$B14:$B306,$D19,data_주일!AK$11:AK$303)&gt;0,SUMIF(data_주일!$B14:$B306,$D19,data_주일!AK$11:AK$303),"")</f>
        <v>16</v>
      </c>
      <c r="N19" s="74" t="str">
        <f>IF(SUMIF(data_주일!$B14:$B306,$D19,data_주일!AL$11:AL$303)&gt;0,SUMIF(data_주일!$B14:$B306,$D19,data_주일!AL$11:AL$303),"")</f>
        <v/>
      </c>
      <c r="O19" s="74">
        <f>IF(SUMIF(data_주일!$B14:$B306,$D19,data_주일!AM$11:AM$303)&gt;0,SUMIF(data_주일!$B14:$B306,$D19,data_주일!AM$11:AM$303),"")</f>
        <v>16</v>
      </c>
      <c r="P19" s="74">
        <f>IF(SUMIF(data_주일!$B14:$B306,$D19,data_주일!AN$11:AN$303)&gt;0,SUMIF(data_주일!$B14:$B306,$D19,data_주일!AN$11:AN$303),"")</f>
        <v>17</v>
      </c>
      <c r="Q19" s="74">
        <f>IF(SUMIF(data_주일!$B14:$B306,$D19,data_주일!AO$11:AO$303)&gt;0,SUMIF(data_주일!$B14:$B306,$D19,data_주일!AO$11:AO$303),"")</f>
        <v>17</v>
      </c>
      <c r="R19" s="74">
        <f>IF(SUMIF(data_주일!$B14:$B306,$D19,data_주일!AP$11:AP$303)&gt;0,SUMIF(data_주일!$B14:$B306,$D19,data_주일!AP$11:AP$303),"")</f>
        <v>19</v>
      </c>
      <c r="S19" s="74" t="str">
        <f>IF(SUMIF(data_주일!$B14:$B306,$D19,data_주일!AQ$11:AQ$303)&gt;0,SUMIF(data_주일!$B14:$B306,$D19,data_주일!AQ$11:AQ$303),"")</f>
        <v/>
      </c>
      <c r="T19" s="82">
        <f t="shared" si="4"/>
        <v>16.454545454545453</v>
      </c>
      <c r="Y19" s="29"/>
    </row>
    <row r="20" spans="3:25" ht="16.149999999999999" customHeight="1" x14ac:dyDescent="0.3">
      <c r="C20" s="72"/>
      <c r="D20" s="88">
        <v>31</v>
      </c>
      <c r="E20" s="89"/>
      <c r="F20" s="73">
        <v>35</v>
      </c>
      <c r="G20" s="74">
        <f>IF(SUMIF(data_주일!$B15:$B307,$D20,data_주일!AE$11:AE$303)&gt;0,SUMIF(data_주일!$B15:$B307,$D20,data_주일!AE$11:AE$303),"")</f>
        <v>26</v>
      </c>
      <c r="H20" s="74">
        <f>IF(SUMIF(data_주일!$B15:$B307,$D20,data_주일!AF$11:AF$303)&gt;0,SUMIF(data_주일!$B15:$B307,$D20,data_주일!AF$11:AF$303),"")</f>
        <v>23</v>
      </c>
      <c r="I20" s="74">
        <f>IF(SUMIF(data_주일!$B15:$B307,$D20,data_주일!AG$11:AG$303)&gt;0,SUMIF(data_주일!$B15:$B307,$D20,data_주일!AG$11:AG$303),"")</f>
        <v>24</v>
      </c>
      <c r="J20" s="74">
        <f>IF(SUMIF(data_주일!$B15:$B307,$D20,data_주일!AH$11:AH$303)&gt;0,SUMIF(data_주일!$B15:$B307,$D20,data_주일!AH$11:AH$303),"")</f>
        <v>23</v>
      </c>
      <c r="K20" s="74">
        <f>IF(SUMIF(data_주일!$B15:$B307,$D20,data_주일!AI$11:AI$303)&gt;0,SUMIF(data_주일!$B15:$B307,$D20,data_주일!AI$11:AI$303),"")</f>
        <v>25</v>
      </c>
      <c r="L20" s="74">
        <f>IF(SUMIF(data_주일!$B15:$B307,$D20,data_주일!AJ$11:AJ$303)&gt;0,SUMIF(data_주일!$B15:$B307,$D20,data_주일!AJ$11:AJ$303),"")</f>
        <v>23</v>
      </c>
      <c r="M20" s="74">
        <f>IF(SUMIF(data_주일!$B15:$B307,$D20,data_주일!AK$11:AK$303)&gt;0,SUMIF(data_주일!$B15:$B307,$D20,data_주일!AK$11:AK$303),"")</f>
        <v>25</v>
      </c>
      <c r="N20" s="74" t="str">
        <f>IF(SUMIF(data_주일!$B15:$B307,$D20,data_주일!AL$11:AL$303)&gt;0,SUMIF(data_주일!$B15:$B307,$D20,data_주일!AL$11:AL$303),"")</f>
        <v/>
      </c>
      <c r="O20" s="74">
        <f>IF(SUMIF(data_주일!$B15:$B307,$D20,data_주일!AM$11:AM$303)&gt;0,SUMIF(data_주일!$B15:$B307,$D20,data_주일!AM$11:AM$303),"")</f>
        <v>25</v>
      </c>
      <c r="P20" s="74">
        <f>IF(SUMIF(data_주일!$B15:$B307,$D20,data_주일!AN$11:AN$303)&gt;0,SUMIF(data_주일!$B15:$B307,$D20,data_주일!AN$11:AN$303),"")</f>
        <v>27</v>
      </c>
      <c r="Q20" s="74">
        <f>IF(SUMIF(data_주일!$B15:$B307,$D20,data_주일!AO$11:AO$303)&gt;0,SUMIF(data_주일!$B15:$B307,$D20,data_주일!AO$11:AO$303),"")</f>
        <v>26</v>
      </c>
      <c r="R20" s="74">
        <f>IF(SUMIF(data_주일!$B15:$B307,$D20,data_주일!AP$11:AP$303)&gt;0,SUMIF(data_주일!$B15:$B307,$D20,data_주일!AP$11:AP$303),"")</f>
        <v>21</v>
      </c>
      <c r="S20" s="74" t="str">
        <f>IF(SUMIF(data_주일!$B15:$B307,$D20,data_주일!AQ$11:AQ$303)&gt;0,SUMIF(data_주일!$B15:$B307,$D20,data_주일!AQ$11:AQ$303),"")</f>
        <v/>
      </c>
      <c r="T20" s="82">
        <f t="shared" si="4"/>
        <v>24.363636363636363</v>
      </c>
      <c r="Y20" s="29"/>
    </row>
    <row r="21" spans="3:25" ht="16.149999999999999" customHeight="1" x14ac:dyDescent="0.3">
      <c r="C21" s="72"/>
      <c r="D21" s="88">
        <v>32</v>
      </c>
      <c r="E21" s="89"/>
      <c r="F21" s="73">
        <v>28</v>
      </c>
      <c r="G21" s="74">
        <f>IF(SUMIF(data_주일!$B16:$B308,$D21,data_주일!AE$11:AE$303)&gt;0,SUMIF(data_주일!$B16:$B308,$D21,data_주일!AE$11:AE$303),"")</f>
        <v>25</v>
      </c>
      <c r="H21" s="74">
        <f>IF(SUMIF(data_주일!$B16:$B308,$D21,data_주일!AF$11:AF$303)&gt;0,SUMIF(data_주일!$B16:$B308,$D21,data_주일!AF$11:AF$303),"")</f>
        <v>21</v>
      </c>
      <c r="I21" s="74">
        <f>IF(SUMIF(data_주일!$B16:$B308,$D21,data_주일!AG$11:AG$303)&gt;0,SUMIF(data_주일!$B16:$B308,$D21,data_주일!AG$11:AG$303),"")</f>
        <v>23</v>
      </c>
      <c r="J21" s="74">
        <f>IF(SUMIF(data_주일!$B16:$B308,$D21,data_주일!AH$11:AH$303)&gt;0,SUMIF(data_주일!$B16:$B308,$D21,data_주일!AH$11:AH$303),"")</f>
        <v>23</v>
      </c>
      <c r="K21" s="74">
        <f>IF(SUMIF(data_주일!$B16:$B308,$D21,data_주일!AI$11:AI$303)&gt;0,SUMIF(data_주일!$B16:$B308,$D21,data_주일!AI$11:AI$303),"")</f>
        <v>22</v>
      </c>
      <c r="L21" s="74">
        <f>IF(SUMIF(data_주일!$B16:$B308,$D21,data_주일!AJ$11:AJ$303)&gt;0,SUMIF(data_주일!$B16:$B308,$D21,data_주일!AJ$11:AJ$303),"")</f>
        <v>24</v>
      </c>
      <c r="M21" s="74">
        <f>IF(SUMIF(data_주일!$B16:$B308,$D21,data_주일!AK$11:AK$303)&gt;0,SUMIF(data_주일!$B16:$B308,$D21,data_주일!AK$11:AK$303),"")</f>
        <v>25</v>
      </c>
      <c r="N21" s="74" t="str">
        <f>IF(SUMIF(data_주일!$B16:$B308,$D21,data_주일!AL$11:AL$303)&gt;0,SUMIF(data_주일!$B16:$B308,$D21,data_주일!AL$11:AL$303),"")</f>
        <v/>
      </c>
      <c r="O21" s="74">
        <f>IF(SUMIF(data_주일!$B16:$B308,$D21,data_주일!AM$11:AM$303)&gt;0,SUMIF(data_주일!$B16:$B308,$D21,data_주일!AM$11:AM$303),"")</f>
        <v>22</v>
      </c>
      <c r="P21" s="74">
        <f>IF(SUMIF(data_주일!$B16:$B308,$D21,data_주일!AN$11:AN$303)&gt;0,SUMIF(data_주일!$B16:$B308,$D21,data_주일!AN$11:AN$303),"")</f>
        <v>22</v>
      </c>
      <c r="Q21" s="74">
        <f>IF(SUMIF(data_주일!$B16:$B308,$D21,data_주일!AO$11:AO$303)&gt;0,SUMIF(data_주일!$B16:$B308,$D21,data_주일!AO$11:AO$303),"")</f>
        <v>23</v>
      </c>
      <c r="R21" s="74">
        <f>IF(SUMIF(data_주일!$B16:$B308,$D21,data_주일!AP$11:AP$303)&gt;0,SUMIF(data_주일!$B16:$B308,$D21,data_주일!AP$11:AP$303),"")</f>
        <v>24</v>
      </c>
      <c r="S21" s="74" t="str">
        <f>IF(SUMIF(data_주일!$B16:$B308,$D21,data_주일!AQ$11:AQ$303)&gt;0,SUMIF(data_주일!$B16:$B308,$D21,data_주일!AQ$11:AQ$303),"")</f>
        <v/>
      </c>
      <c r="T21" s="82">
        <f t="shared" si="4"/>
        <v>23.09090909090909</v>
      </c>
      <c r="Y21" s="29"/>
    </row>
    <row r="22" spans="3:25" ht="16.149999999999999" customHeight="1" x14ac:dyDescent="0.3">
      <c r="C22" s="72"/>
      <c r="D22" s="88">
        <v>33</v>
      </c>
      <c r="E22" s="89"/>
      <c r="F22" s="73">
        <v>12</v>
      </c>
      <c r="G22" s="74">
        <f>IF(SUMIF(data_주일!$B17:$B309,$D22,data_주일!AE$11:AE$303)&gt;0,SUMIF(data_주일!$B17:$B309,$D22,data_주일!AE$11:AE$303),"")</f>
        <v>8</v>
      </c>
      <c r="H22" s="74">
        <f>IF(SUMIF(data_주일!$B17:$B309,$D22,data_주일!AF$11:AF$303)&gt;0,SUMIF(data_주일!$B17:$B309,$D22,data_주일!AF$11:AF$303),"")</f>
        <v>10</v>
      </c>
      <c r="I22" s="74">
        <f>IF(SUMIF(data_주일!$B17:$B309,$D22,data_주일!AG$11:AG$303)&gt;0,SUMIF(data_주일!$B17:$B309,$D22,data_주일!AG$11:AG$303),"")</f>
        <v>7</v>
      </c>
      <c r="J22" s="74">
        <f>IF(SUMIF(data_주일!$B17:$B309,$D22,data_주일!AH$11:AH$303)&gt;0,SUMIF(data_주일!$B17:$B309,$D22,data_주일!AH$11:AH$303),"")</f>
        <v>7</v>
      </c>
      <c r="K22" s="74">
        <f>IF(SUMIF(data_주일!$B17:$B309,$D22,data_주일!AI$11:AI$303)&gt;0,SUMIF(data_주일!$B17:$B309,$D22,data_주일!AI$11:AI$303),"")</f>
        <v>5</v>
      </c>
      <c r="L22" s="74">
        <f>IF(SUMIF(data_주일!$B17:$B309,$D22,data_주일!AJ$11:AJ$303)&gt;0,SUMIF(data_주일!$B17:$B309,$D22,data_주일!AJ$11:AJ$303),"")</f>
        <v>9</v>
      </c>
      <c r="M22" s="74">
        <f>IF(SUMIF(data_주일!$B17:$B309,$D22,data_주일!AK$11:AK$303)&gt;0,SUMIF(data_주일!$B17:$B309,$D22,data_주일!AK$11:AK$303),"")</f>
        <v>7</v>
      </c>
      <c r="N22" s="74" t="str">
        <f>IF(SUMIF(data_주일!$B17:$B309,$D22,data_주일!AL$11:AL$303)&gt;0,SUMIF(data_주일!$B17:$B309,$D22,data_주일!AL$11:AL$303),"")</f>
        <v/>
      </c>
      <c r="O22" s="74">
        <f>IF(SUMIF(data_주일!$B17:$B309,$D22,data_주일!AM$11:AM$303)&gt;0,SUMIF(data_주일!$B17:$B309,$D22,data_주일!AM$11:AM$303),"")</f>
        <v>7</v>
      </c>
      <c r="P22" s="74">
        <f>IF(SUMIF(data_주일!$B17:$B309,$D22,data_주일!AN$11:AN$303)&gt;0,SUMIF(data_주일!$B17:$B309,$D22,data_주일!AN$11:AN$303),"")</f>
        <v>7</v>
      </c>
      <c r="Q22" s="74">
        <f>IF(SUMIF(data_주일!$B17:$B309,$D22,data_주일!AO$11:AO$303)&gt;0,SUMIF(data_주일!$B17:$B309,$D22,data_주일!AO$11:AO$303),"")</f>
        <v>5</v>
      </c>
      <c r="R22" s="74">
        <f>IF(SUMIF(data_주일!$B17:$B309,$D22,data_주일!AP$11:AP$303)&gt;0,SUMIF(data_주일!$B17:$B309,$D22,data_주일!AP$11:AP$303),"")</f>
        <v>5</v>
      </c>
      <c r="S22" s="74" t="str">
        <f>IF(SUMIF(data_주일!$B17:$B309,$D22,data_주일!AQ$11:AQ$303)&gt;0,SUMIF(data_주일!$B17:$B309,$D22,data_주일!AQ$11:AQ$303),"")</f>
        <v/>
      </c>
      <c r="T22" s="82">
        <f t="shared" si="4"/>
        <v>7</v>
      </c>
      <c r="Y22" s="29"/>
    </row>
    <row r="23" spans="3:25" ht="16.149999999999999" customHeight="1" x14ac:dyDescent="0.3">
      <c r="C23" s="72"/>
      <c r="D23" s="88">
        <v>41</v>
      </c>
      <c r="E23" s="89"/>
      <c r="F23" s="73">
        <v>30</v>
      </c>
      <c r="G23" s="74">
        <f>IF(SUMIF(data_주일!$B18:$B310,$D23,data_주일!AE$11:AE$303)&gt;0,SUMIF(data_주일!$B18:$B310,$D23,data_주일!AE$11:AE$303),"")</f>
        <v>16</v>
      </c>
      <c r="H23" s="74">
        <f>IF(SUMIF(data_주일!$B18:$B310,$D23,data_주일!AF$11:AF$303)&gt;0,SUMIF(data_주일!$B18:$B310,$D23,data_주일!AF$11:AF$303),"")</f>
        <v>19</v>
      </c>
      <c r="I23" s="74">
        <f>IF(SUMIF(data_주일!$B18:$B310,$D23,data_주일!AG$11:AG$303)&gt;0,SUMIF(data_주일!$B18:$B310,$D23,data_주일!AG$11:AG$303),"")</f>
        <v>20</v>
      </c>
      <c r="J23" s="74">
        <f>IF(SUMIF(data_주일!$B18:$B310,$D23,data_주일!AH$11:AH$303)&gt;0,SUMIF(data_주일!$B18:$B310,$D23,data_주일!AH$11:AH$303),"")</f>
        <v>15</v>
      </c>
      <c r="K23" s="74">
        <f>IF(SUMIF(data_주일!$B18:$B310,$D23,data_주일!AI$11:AI$303)&gt;0,SUMIF(data_주일!$B18:$B310,$D23,data_주일!AI$11:AI$303),"")</f>
        <v>21</v>
      </c>
      <c r="L23" s="74">
        <f>IF(SUMIF(data_주일!$B18:$B310,$D23,data_주일!AJ$11:AJ$303)&gt;0,SUMIF(data_주일!$B18:$B310,$D23,data_주일!AJ$11:AJ$303),"")</f>
        <v>19</v>
      </c>
      <c r="M23" s="74">
        <f>IF(SUMIF(data_주일!$B18:$B310,$D23,data_주일!AK$11:AK$303)&gt;0,SUMIF(data_주일!$B18:$B310,$D23,data_주일!AK$11:AK$303),"")</f>
        <v>21</v>
      </c>
      <c r="N23" s="74" t="str">
        <f>IF(SUMIF(data_주일!$B18:$B310,$D23,data_주일!AL$11:AL$303)&gt;0,SUMIF(data_주일!$B18:$B310,$D23,data_주일!AL$11:AL$303),"")</f>
        <v/>
      </c>
      <c r="O23" s="74">
        <f>IF(SUMIF(data_주일!$B18:$B310,$D23,data_주일!AM$11:AM$303)&gt;0,SUMIF(data_주일!$B18:$B310,$D23,data_주일!AM$11:AM$303),"")</f>
        <v>18</v>
      </c>
      <c r="P23" s="74">
        <f>IF(SUMIF(data_주일!$B18:$B310,$D23,data_주일!AN$11:AN$303)&gt;0,SUMIF(data_주일!$B18:$B310,$D23,data_주일!AN$11:AN$303),"")</f>
        <v>18</v>
      </c>
      <c r="Q23" s="74">
        <f>IF(SUMIF(data_주일!$B18:$B310,$D23,data_주일!AO$11:AO$303)&gt;0,SUMIF(data_주일!$B18:$B310,$D23,data_주일!AO$11:AO$303),"")</f>
        <v>17</v>
      </c>
      <c r="R23" s="74">
        <f>IF(SUMIF(data_주일!$B18:$B310,$D23,data_주일!AP$11:AP$303)&gt;0,SUMIF(data_주일!$B18:$B310,$D23,data_주일!AP$11:AP$303),"")</f>
        <v>18</v>
      </c>
      <c r="S23" s="74" t="str">
        <f>IF(SUMIF(data_주일!$B18:$B310,$D23,data_주일!AQ$11:AQ$303)&gt;0,SUMIF(data_주일!$B18:$B310,$D23,data_주일!AQ$11:AQ$303),"")</f>
        <v/>
      </c>
      <c r="T23" s="82">
        <f t="shared" si="4"/>
        <v>18.363636363636363</v>
      </c>
      <c r="Y23" s="29"/>
    </row>
    <row r="24" spans="3:25" ht="16.149999999999999" customHeight="1" x14ac:dyDescent="0.3">
      <c r="C24" s="72"/>
      <c r="D24" s="88">
        <v>42</v>
      </c>
      <c r="E24" s="89"/>
      <c r="F24" s="73">
        <v>29</v>
      </c>
      <c r="G24" s="74">
        <f>IF(SUMIF(data_주일!$B19:$B311,$D24,data_주일!AE$11:AE$303)&gt;0,SUMIF(data_주일!$B19:$B311,$D24,data_주일!AE$11:AE$303),"")</f>
        <v>22</v>
      </c>
      <c r="H24" s="74">
        <f>IF(SUMIF(data_주일!$B19:$B311,$D24,data_주일!AF$11:AF$303)&gt;0,SUMIF(data_주일!$B19:$B311,$D24,data_주일!AF$11:AF$303),"")</f>
        <v>22</v>
      </c>
      <c r="I24" s="74">
        <f>IF(SUMIF(data_주일!$B19:$B311,$D24,data_주일!AG$11:AG$303)&gt;0,SUMIF(data_주일!$B19:$B311,$D24,data_주일!AG$11:AG$303),"")</f>
        <v>21</v>
      </c>
      <c r="J24" s="74">
        <f>IF(SUMIF(data_주일!$B19:$B311,$D24,data_주일!AH$11:AH$303)&gt;0,SUMIF(data_주일!$B19:$B311,$D24,data_주일!AH$11:AH$303),"")</f>
        <v>19</v>
      </c>
      <c r="K24" s="74">
        <f>IF(SUMIF(data_주일!$B19:$B311,$D24,data_주일!AI$11:AI$303)&gt;0,SUMIF(data_주일!$B19:$B311,$D24,data_주일!AI$11:AI$303),"")</f>
        <v>23</v>
      </c>
      <c r="L24" s="74">
        <f>IF(SUMIF(data_주일!$B19:$B311,$D24,data_주일!AJ$11:AJ$303)&gt;0,SUMIF(data_주일!$B19:$B311,$D24,data_주일!AJ$11:AJ$303),"")</f>
        <v>20</v>
      </c>
      <c r="M24" s="74">
        <f>IF(SUMIF(data_주일!$B19:$B311,$D24,data_주일!AK$11:AK$303)&gt;0,SUMIF(data_주일!$B19:$B311,$D24,data_주일!AK$11:AK$303),"")</f>
        <v>22</v>
      </c>
      <c r="N24" s="74" t="str">
        <f>IF(SUMIF(data_주일!$B19:$B311,$D24,data_주일!AL$11:AL$303)&gt;0,SUMIF(data_주일!$B19:$B311,$D24,data_주일!AL$11:AL$303),"")</f>
        <v/>
      </c>
      <c r="O24" s="74">
        <f>IF(SUMIF(data_주일!$B19:$B311,$D24,data_주일!AM$11:AM$303)&gt;0,SUMIF(data_주일!$B19:$B311,$D24,data_주일!AM$11:AM$303),"")</f>
        <v>20</v>
      </c>
      <c r="P24" s="74">
        <f>IF(SUMIF(data_주일!$B19:$B311,$D24,data_주일!AN$11:AN$303)&gt;0,SUMIF(data_주일!$B19:$B311,$D24,data_주일!AN$11:AN$303),"")</f>
        <v>19</v>
      </c>
      <c r="Q24" s="74">
        <f>IF(SUMIF(data_주일!$B19:$B311,$D24,data_주일!AO$11:AO$303)&gt;0,SUMIF(data_주일!$B19:$B311,$D24,data_주일!AO$11:AO$303),"")</f>
        <v>20</v>
      </c>
      <c r="R24" s="74">
        <f>IF(SUMIF(data_주일!$B19:$B311,$D24,data_주일!AP$11:AP$303)&gt;0,SUMIF(data_주일!$B19:$B311,$D24,data_주일!AP$11:AP$303),"")</f>
        <v>16</v>
      </c>
      <c r="S24" s="74" t="str">
        <f>IF(SUMIF(data_주일!$B19:$B311,$D24,data_주일!AQ$11:AQ$303)&gt;0,SUMIF(data_주일!$B19:$B311,$D24,data_주일!AQ$11:AQ$303),"")</f>
        <v/>
      </c>
      <c r="T24" s="82">
        <f t="shared" si="4"/>
        <v>20.363636363636363</v>
      </c>
      <c r="Y24" s="29"/>
    </row>
    <row r="25" spans="3:25" ht="16.149999999999999" customHeight="1" x14ac:dyDescent="0.3">
      <c r="C25" s="72"/>
      <c r="D25" s="88">
        <v>43</v>
      </c>
      <c r="E25" s="89"/>
      <c r="F25" s="73">
        <v>34</v>
      </c>
      <c r="G25" s="74">
        <f>IF(SUMIF(data_주일!$B20:$B312,$D25,data_주일!AE$11:AE$303)&gt;0,SUMIF(data_주일!$B20:$B312,$D25,data_주일!AE$11:AE$303),"")</f>
        <v>28</v>
      </c>
      <c r="H25" s="74">
        <f>IF(SUMIF(data_주일!$B20:$B312,$D25,data_주일!AF$11:AF$303)&gt;0,SUMIF(data_주일!$B20:$B312,$D25,data_주일!AF$11:AF$303),"")</f>
        <v>27</v>
      </c>
      <c r="I25" s="74">
        <f>IF(SUMIF(data_주일!$B20:$B312,$D25,data_주일!AG$11:AG$303)&gt;0,SUMIF(data_주일!$B20:$B312,$D25,data_주일!AG$11:AG$303),"")</f>
        <v>22</v>
      </c>
      <c r="J25" s="74">
        <f>IF(SUMIF(data_주일!$B20:$B312,$D25,data_주일!AH$11:AH$303)&gt;0,SUMIF(data_주일!$B20:$B312,$D25,data_주일!AH$11:AH$303),"")</f>
        <v>26</v>
      </c>
      <c r="K25" s="74">
        <f>IF(SUMIF(data_주일!$B20:$B312,$D25,data_주일!AI$11:AI$303)&gt;0,SUMIF(data_주일!$B20:$B312,$D25,data_주일!AI$11:AI$303),"")</f>
        <v>27</v>
      </c>
      <c r="L25" s="74">
        <f>IF(SUMIF(data_주일!$B20:$B312,$D25,data_주일!AJ$11:AJ$303)&gt;0,SUMIF(data_주일!$B20:$B312,$D25,data_주일!AJ$11:AJ$303),"")</f>
        <v>22</v>
      </c>
      <c r="M25" s="74">
        <f>IF(SUMIF(data_주일!$B20:$B312,$D25,data_주일!AK$11:AK$303)&gt;0,SUMIF(data_주일!$B20:$B312,$D25,data_주일!AK$11:AK$303),"")</f>
        <v>26</v>
      </c>
      <c r="N25" s="74" t="str">
        <f>IF(SUMIF(data_주일!$B20:$B312,$D25,data_주일!AL$11:AL$303)&gt;0,SUMIF(data_주일!$B20:$B312,$D25,data_주일!AL$11:AL$303),"")</f>
        <v/>
      </c>
      <c r="O25" s="74">
        <f>IF(SUMIF(data_주일!$B20:$B312,$D25,data_주일!AM$11:AM$303)&gt;0,SUMIF(data_주일!$B20:$B312,$D25,data_주일!AM$11:AM$303),"")</f>
        <v>26</v>
      </c>
      <c r="P25" s="74">
        <f>IF(SUMIF(data_주일!$B20:$B312,$D25,data_주일!AN$11:AN$303)&gt;0,SUMIF(data_주일!$B20:$B312,$D25,data_주일!AN$11:AN$303),"")</f>
        <v>26</v>
      </c>
      <c r="Q25" s="74">
        <f>IF(SUMIF(data_주일!$B20:$B312,$D25,data_주일!AO$11:AO$303)&gt;0,SUMIF(data_주일!$B20:$B312,$D25,data_주일!AO$11:AO$303),"")</f>
        <v>24</v>
      </c>
      <c r="R25" s="74">
        <f>IF(SUMIF(data_주일!$B20:$B312,$D25,data_주일!AP$11:AP$303)&gt;0,SUMIF(data_주일!$B20:$B312,$D25,data_주일!AP$11:AP$303),"")</f>
        <v>26</v>
      </c>
      <c r="S25" s="74" t="str">
        <f>IF(SUMIF(data_주일!$B20:$B312,$D25,data_주일!AQ$11:AQ$303)&gt;0,SUMIF(data_주일!$B20:$B312,$D25,data_주일!AQ$11:AQ$303),"")</f>
        <v/>
      </c>
      <c r="T25" s="82">
        <f t="shared" si="4"/>
        <v>25.454545454545453</v>
      </c>
      <c r="Y25" s="29"/>
    </row>
    <row r="26" spans="3:25" ht="16.149999999999999" customHeight="1" x14ac:dyDescent="0.3">
      <c r="C26" s="96" t="s">
        <v>387</v>
      </c>
      <c r="D26" s="97"/>
      <c r="E26" s="98"/>
      <c r="F26" s="75" t="s">
        <v>388</v>
      </c>
      <c r="G26" s="76">
        <v>14</v>
      </c>
      <c r="H26" s="76">
        <v>10</v>
      </c>
      <c r="I26" s="76">
        <v>8</v>
      </c>
      <c r="J26" s="76">
        <v>14</v>
      </c>
      <c r="K26" s="76">
        <v>12</v>
      </c>
      <c r="L26" s="76">
        <v>13</v>
      </c>
      <c r="M26" s="76">
        <v>12</v>
      </c>
      <c r="N26" s="76"/>
      <c r="O26" s="76">
        <v>7</v>
      </c>
      <c r="P26" s="76">
        <v>14</v>
      </c>
      <c r="Q26" s="76">
        <v>11</v>
      </c>
      <c r="R26" s="76">
        <v>10</v>
      </c>
      <c r="S26" s="76"/>
      <c r="T26" s="82">
        <f>SUM(G26:S26)/(COUNTA(G26:S26))</f>
        <v>11.363636363636363</v>
      </c>
      <c r="Y26" s="29"/>
    </row>
    <row r="27" spans="3:25" ht="16.149999999999999" customHeight="1" x14ac:dyDescent="0.3">
      <c r="C27" s="99"/>
      <c r="D27" s="100"/>
      <c r="E27" s="101"/>
      <c r="F27" s="75" t="s">
        <v>344</v>
      </c>
      <c r="G27" s="77">
        <v>19</v>
      </c>
      <c r="H27" s="77">
        <v>17</v>
      </c>
      <c r="I27" s="77">
        <v>18</v>
      </c>
      <c r="J27" s="77">
        <v>15</v>
      </c>
      <c r="K27" s="77">
        <v>18</v>
      </c>
      <c r="L27" s="77">
        <v>24</v>
      </c>
      <c r="M27" s="77">
        <v>20</v>
      </c>
      <c r="N27" s="77"/>
      <c r="O27" s="77">
        <v>19</v>
      </c>
      <c r="P27" s="77">
        <v>22</v>
      </c>
      <c r="Q27" s="77">
        <v>22</v>
      </c>
      <c r="R27" s="77">
        <v>20</v>
      </c>
      <c r="S27" s="77"/>
      <c r="T27" s="82">
        <f>SUM(G27:S27)/(COUNTA(G27:S27))</f>
        <v>19.454545454545453</v>
      </c>
      <c r="Y27" s="29"/>
    </row>
    <row r="28" spans="3:25" ht="16.149999999999999" customHeight="1" x14ac:dyDescent="0.3">
      <c r="C28" s="102" t="s">
        <v>335</v>
      </c>
      <c r="D28" s="103"/>
      <c r="E28" s="103"/>
      <c r="F28" s="104"/>
      <c r="G28" s="58">
        <f t="shared" ref="G28:S28" si="5">IF(SUM(G14,G26,G27)&gt;0,SUM(G14,G26,G27),"")</f>
        <v>250</v>
      </c>
      <c r="H28" s="58">
        <f t="shared" si="5"/>
        <v>234</v>
      </c>
      <c r="I28" s="58">
        <f t="shared" si="5"/>
        <v>227</v>
      </c>
      <c r="J28" s="58">
        <f t="shared" si="5"/>
        <v>233</v>
      </c>
      <c r="K28" s="58">
        <f t="shared" si="5"/>
        <v>242</v>
      </c>
      <c r="L28" s="58">
        <f>IF(SUM(L14,L26,L27)&gt;0,SUM(L14,L26,L27),"")</f>
        <v>249</v>
      </c>
      <c r="M28" s="58">
        <f t="shared" ref="M28" si="6">IF(SUM(M14,M26,M27)&gt;0,SUM(M14,M26,M27),"")</f>
        <v>255</v>
      </c>
      <c r="N28" s="58">
        <v>230</v>
      </c>
      <c r="O28" s="58">
        <f t="shared" ref="O28" si="7">IF(SUM(O14,O26,O27)&gt;0,SUM(O14,O26,O27),"")</f>
        <v>238</v>
      </c>
      <c r="P28" s="58">
        <f t="shared" si="5"/>
        <v>248</v>
      </c>
      <c r="Q28" s="58">
        <f t="shared" ref="Q28:R28" si="8">IF(SUM(Q14,Q26,Q27)&gt;0,SUM(Q14,Q26,Q27),"")</f>
        <v>228</v>
      </c>
      <c r="R28" s="58">
        <f t="shared" si="8"/>
        <v>238</v>
      </c>
      <c r="S28" s="58" t="str">
        <f t="shared" si="5"/>
        <v/>
      </c>
      <c r="T28" s="83">
        <f>SUM(G28:S28)/(COUNTA(G28:S28)-COUNTIF(G28:S28,""))</f>
        <v>239.33333333333334</v>
      </c>
      <c r="Y28" s="29"/>
    </row>
    <row r="29" spans="3:25" ht="22.15" customHeight="1" x14ac:dyDescent="0.3">
      <c r="C29" s="105" t="s">
        <v>358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</row>
    <row r="30" spans="3:25" ht="4.9000000000000004" customHeight="1" x14ac:dyDescent="0.3"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 spans="3:25" ht="7.9" customHeight="1" x14ac:dyDescent="0.3"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 spans="3:25" x14ac:dyDescent="0.3"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</row>
    <row r="33" spans="3:25" x14ac:dyDescent="0.3">
      <c r="C33" s="47"/>
    </row>
    <row r="34" spans="3:25" x14ac:dyDescent="0.3">
      <c r="C34" s="47"/>
    </row>
    <row r="35" spans="3:25" x14ac:dyDescent="0.3">
      <c r="C35" s="47"/>
    </row>
    <row r="36" spans="3:25" x14ac:dyDescent="0.3">
      <c r="C36" s="47"/>
    </row>
    <row r="37" spans="3:25" ht="16.5" customHeight="1" x14ac:dyDescent="0.3"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</row>
    <row r="38" spans="3:25" ht="16.5" customHeight="1" x14ac:dyDescent="0.3"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</row>
    <row r="39" spans="3:25" ht="16.5" customHeight="1" x14ac:dyDescent="0.3"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</row>
    <row r="40" spans="3:25" ht="16.5" customHeight="1" x14ac:dyDescent="0.3"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</row>
    <row r="41" spans="3:25" ht="16.5" customHeight="1" x14ac:dyDescent="0.3"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</row>
    <row r="42" spans="3:25" ht="12.95" customHeight="1" x14ac:dyDescent="0.3">
      <c r="C42" s="51" t="s">
        <v>340</v>
      </c>
      <c r="D42" s="108" t="s">
        <v>380</v>
      </c>
      <c r="E42" s="109"/>
      <c r="F42" s="54" t="s">
        <v>201</v>
      </c>
      <c r="G42" s="6">
        <f t="shared" ref="G42:O42" si="9">G13</f>
        <v>46180</v>
      </c>
      <c r="H42" s="6">
        <f t="shared" si="9"/>
        <v>46187</v>
      </c>
      <c r="I42" s="6">
        <f t="shared" si="9"/>
        <v>46194</v>
      </c>
      <c r="J42" s="6">
        <f t="shared" si="9"/>
        <v>46201</v>
      </c>
      <c r="K42" s="6">
        <f t="shared" si="9"/>
        <v>46208</v>
      </c>
      <c r="L42" s="6">
        <f t="shared" si="9"/>
        <v>46215</v>
      </c>
      <c r="M42" s="6">
        <f t="shared" si="9"/>
        <v>46222</v>
      </c>
      <c r="N42" s="6" t="str">
        <f t="shared" si="9"/>
        <v>3차하계</v>
      </c>
      <c r="O42" s="6">
        <f t="shared" si="9"/>
        <v>46236</v>
      </c>
      <c r="P42" s="6">
        <f t="shared" ref="P42:S42" si="10">P13</f>
        <v>46243</v>
      </c>
      <c r="Q42" s="6">
        <f t="shared" si="10"/>
        <v>46250</v>
      </c>
      <c r="R42" s="6">
        <f t="shared" si="10"/>
        <v>46257</v>
      </c>
      <c r="S42" s="6">
        <f t="shared" si="10"/>
        <v>46264</v>
      </c>
      <c r="Y42" s="29"/>
    </row>
    <row r="43" spans="3:25" ht="12.95" customHeight="1" x14ac:dyDescent="0.3">
      <c r="C43" s="40" t="str">
        <f>IF(data_주일!C309="","",data_주일!C309)</f>
        <v>윤나영</v>
      </c>
      <c r="D43" s="86" t="str">
        <f>IF(data_주일!D309="","",data_주일!D309)</f>
        <v>최경숙</v>
      </c>
      <c r="E43" s="87"/>
      <c r="F43" s="40">
        <f>IF(data_주일!B309="","",data_주일!B309)</f>
        <v>11</v>
      </c>
      <c r="G43" s="46" t="str">
        <f>IF(data_주일!AE309=1,$C43,"")</f>
        <v/>
      </c>
      <c r="H43" s="46" t="str">
        <f>IF(data_주일!AF309=1,$C43,"")</f>
        <v/>
      </c>
      <c r="I43" s="46" t="str">
        <f>IF(data_주일!AG309=1,$C43,"")</f>
        <v/>
      </c>
      <c r="J43" s="46" t="str">
        <f>IF(data_주일!AH309=1,$C43,"")</f>
        <v/>
      </c>
      <c r="K43" s="46" t="str">
        <f>IF(data_주일!AI309=1,$C43,"")</f>
        <v/>
      </c>
      <c r="L43" s="46" t="str">
        <f>IF(data_주일!AJ309=1,$C43,"")</f>
        <v/>
      </c>
      <c r="M43" s="46" t="str">
        <f>IF(data_주일!AK309=1,$C43,"")</f>
        <v/>
      </c>
      <c r="N43" s="46" t="str">
        <f>IF(data_주일!AL309=1,$C43,"")</f>
        <v/>
      </c>
      <c r="O43" s="46" t="str">
        <f>IF(data_주일!AM309=1,$C43,"")</f>
        <v/>
      </c>
      <c r="P43" s="46" t="str">
        <f>IF(data_주일!AN309=1,$C43,"")</f>
        <v/>
      </c>
      <c r="Q43" s="46" t="str">
        <f>IF(data_주일!AO309=1,$C43,"")</f>
        <v/>
      </c>
      <c r="R43" s="46" t="str">
        <f>IF(data_주일!AP309=1,$C43,"")</f>
        <v/>
      </c>
      <c r="S43" s="46" t="str">
        <f>IF(data_주일!AQ309=1,$C43,"")</f>
        <v/>
      </c>
      <c r="Y43" s="29"/>
    </row>
    <row r="44" spans="3:25" ht="12.95" customHeight="1" x14ac:dyDescent="0.3">
      <c r="C44" s="40" t="str">
        <f>IF(data_주일!C310="","",data_주일!C310)</f>
        <v>조미경</v>
      </c>
      <c r="D44" s="86" t="str">
        <f>IF(data_주일!D310="","",data_주일!D310)</f>
        <v>서금자</v>
      </c>
      <c r="E44" s="87"/>
      <c r="F44" s="40">
        <f>IF(data_주일!B310="","",data_주일!B310)</f>
        <v>11</v>
      </c>
      <c r="G44" s="46" t="str">
        <f>IF(data_주일!AE310=1,$C44,"")</f>
        <v/>
      </c>
      <c r="H44" s="46" t="str">
        <f>IF(data_주일!AF310=1,$C44,"")</f>
        <v/>
      </c>
      <c r="I44" s="46" t="str">
        <f>IF(data_주일!AG310=1,$C44,"")</f>
        <v/>
      </c>
      <c r="J44" s="46" t="str">
        <f>IF(data_주일!AH310=1,$C44,"")</f>
        <v/>
      </c>
      <c r="K44" s="46" t="str">
        <f>IF(data_주일!AI310=1,$C44,"")</f>
        <v/>
      </c>
      <c r="L44" s="46" t="str">
        <f>IF(data_주일!AJ310=1,$C44,"")</f>
        <v/>
      </c>
      <c r="M44" s="46" t="str">
        <f>IF(data_주일!AK310=1,$C44,"")</f>
        <v/>
      </c>
      <c r="N44" s="46" t="str">
        <f>IF(data_주일!AL310=1,$C44,"")</f>
        <v/>
      </c>
      <c r="O44" s="46" t="str">
        <f>IF(data_주일!AM310=1,$C44,"")</f>
        <v/>
      </c>
      <c r="P44" s="46" t="str">
        <f>IF(data_주일!AN310=1,$C44,"")</f>
        <v/>
      </c>
      <c r="Q44" s="46" t="str">
        <f>IF(data_주일!AO310=1,$C44,"")</f>
        <v/>
      </c>
      <c r="R44" s="46" t="str">
        <f>IF(data_주일!AP310=1,$C44,"")</f>
        <v/>
      </c>
      <c r="S44" s="46" t="str">
        <f>IF(data_주일!AQ310=1,$C44,"")</f>
        <v/>
      </c>
      <c r="Y44" s="29"/>
    </row>
    <row r="45" spans="3:25" ht="12.95" customHeight="1" x14ac:dyDescent="0.3">
      <c r="C45" s="40" t="str">
        <f>IF(data_주일!C311="","",data_주일!C311)</f>
        <v>차경은</v>
      </c>
      <c r="D45" s="86" t="str">
        <f>IF(data_주일!D311="","",data_주일!D311)</f>
        <v>이지영</v>
      </c>
      <c r="E45" s="87"/>
      <c r="F45" s="40">
        <f>IF(data_주일!B311="","",data_주일!B311)</f>
        <v>11</v>
      </c>
      <c r="G45" s="46" t="str">
        <f>IF(data_주일!AE311=1,$C45,"")</f>
        <v/>
      </c>
      <c r="H45" s="46" t="str">
        <f>IF(data_주일!AF311=1,$C45,"")</f>
        <v/>
      </c>
      <c r="I45" s="46" t="str">
        <f>IF(data_주일!AG311=1,$C45,"")</f>
        <v/>
      </c>
      <c r="J45" s="46" t="str">
        <f>IF(data_주일!AH311=1,$C45,"")</f>
        <v/>
      </c>
      <c r="K45" s="46" t="str">
        <f>IF(data_주일!AI311=1,$C45,"")</f>
        <v/>
      </c>
      <c r="L45" s="46" t="str">
        <f>IF(data_주일!AJ311=1,$C45,"")</f>
        <v/>
      </c>
      <c r="M45" s="46" t="str">
        <f>IF(data_주일!AK311=1,$C45,"")</f>
        <v/>
      </c>
      <c r="N45" s="46" t="str">
        <f>IF(data_주일!AL311=1,$C45,"")</f>
        <v/>
      </c>
      <c r="O45" s="46" t="str">
        <f>IF(data_주일!AM311=1,$C45,"")</f>
        <v/>
      </c>
      <c r="P45" s="46" t="str">
        <f>IF(data_주일!AN311=1,$C45,"")</f>
        <v/>
      </c>
      <c r="Q45" s="46" t="str">
        <f>IF(data_주일!AO311=1,$C45,"")</f>
        <v/>
      </c>
      <c r="R45" s="46" t="str">
        <f>IF(data_주일!AP311=1,$C45,"")</f>
        <v/>
      </c>
      <c r="S45" s="46" t="str">
        <f>IF(data_주일!AQ311=1,$C45,"")</f>
        <v/>
      </c>
      <c r="Y45" s="29"/>
    </row>
    <row r="46" spans="3:25" ht="12.95" customHeight="1" x14ac:dyDescent="0.3">
      <c r="C46" s="40" t="str">
        <f>IF(data_주일!C312="","",data_주일!C312)</f>
        <v>차미나</v>
      </c>
      <c r="D46" s="86" t="str">
        <f>IF(data_주일!D312="","",data_주일!D312)</f>
        <v>이지영</v>
      </c>
      <c r="E46" s="87"/>
      <c r="F46" s="40">
        <f>IF(data_주일!B312="","",data_주일!B312)</f>
        <v>11</v>
      </c>
      <c r="G46" s="46" t="str">
        <f>IF(data_주일!AE312=1,$C46,"")</f>
        <v/>
      </c>
      <c r="H46" s="46" t="str">
        <f>IF(data_주일!AF312=1,$C46,"")</f>
        <v/>
      </c>
      <c r="I46" s="46" t="str">
        <f>IF(data_주일!AG312=1,$C46,"")</f>
        <v/>
      </c>
      <c r="J46" s="46" t="str">
        <f>IF(data_주일!AH312=1,$C46,"")</f>
        <v/>
      </c>
      <c r="K46" s="46" t="str">
        <f>IF(data_주일!AI312=1,$C46,"")</f>
        <v/>
      </c>
      <c r="L46" s="46" t="str">
        <f>IF(data_주일!AJ312=1,$C46,"")</f>
        <v/>
      </c>
      <c r="M46" s="46" t="str">
        <f>IF(data_주일!AK312=1,$C46,"")</f>
        <v/>
      </c>
      <c r="N46" s="46" t="str">
        <f>IF(data_주일!AL312=1,$C46,"")</f>
        <v/>
      </c>
      <c r="O46" s="46" t="str">
        <f>IF(data_주일!AM312=1,$C46,"")</f>
        <v/>
      </c>
      <c r="P46" s="46" t="str">
        <f>IF(data_주일!AN312=1,$C46,"")</f>
        <v/>
      </c>
      <c r="Q46" s="46" t="str">
        <f>IF(data_주일!AO312=1,$C46,"")</f>
        <v/>
      </c>
      <c r="R46" s="46" t="str">
        <f>IF(data_주일!AP312=1,$C46,"")</f>
        <v/>
      </c>
      <c r="S46" s="46" t="str">
        <f>IF(data_주일!AQ312=1,$C46,"")</f>
        <v/>
      </c>
      <c r="Y46" s="29"/>
    </row>
    <row r="47" spans="3:25" ht="12.95" customHeight="1" x14ac:dyDescent="0.3">
      <c r="C47" s="40" t="str">
        <f>IF(data_주일!C313="","",data_주일!C313)</f>
        <v>손기성</v>
      </c>
      <c r="D47" s="86" t="str">
        <f>IF(data_주일!D313="","",data_주일!D313)</f>
        <v>손정미</v>
      </c>
      <c r="E47" s="87"/>
      <c r="F47" s="40">
        <f>IF(data_주일!B313="","",data_주일!B313)</f>
        <v>11</v>
      </c>
      <c r="G47" s="46" t="str">
        <f>IF(data_주일!AE313=1,$C47,"")</f>
        <v/>
      </c>
      <c r="H47" s="46" t="str">
        <f>IF(data_주일!AF313=1,$C47,"")</f>
        <v/>
      </c>
      <c r="I47" s="46" t="str">
        <f>IF(data_주일!AG313=1,$C47,"")</f>
        <v/>
      </c>
      <c r="J47" s="46" t="str">
        <f>IF(data_주일!AH313=1,$C47,"")</f>
        <v/>
      </c>
      <c r="K47" s="46" t="str">
        <f>IF(data_주일!AI313=1,$C47,"")</f>
        <v/>
      </c>
      <c r="L47" s="46" t="str">
        <f>IF(data_주일!AJ313=1,$C47,"")</f>
        <v/>
      </c>
      <c r="M47" s="46" t="str">
        <f>IF(data_주일!AK313=1,$C47,"")</f>
        <v/>
      </c>
      <c r="N47" s="46" t="str">
        <f>IF(data_주일!AL313=1,$C47,"")</f>
        <v/>
      </c>
      <c r="O47" s="46" t="str">
        <f>IF(data_주일!AM313=1,$C47,"")</f>
        <v/>
      </c>
      <c r="P47" s="46" t="str">
        <f>IF(data_주일!AN313=1,$C47,"")</f>
        <v>손기성</v>
      </c>
      <c r="Q47" s="46" t="str">
        <f>IF(data_주일!AO313=1,$C47,"")</f>
        <v/>
      </c>
      <c r="R47" s="46" t="str">
        <f>IF(data_주일!AP313=1,$C47,"")</f>
        <v/>
      </c>
      <c r="S47" s="46" t="str">
        <f>IF(data_주일!AQ313=1,$C47,"")</f>
        <v/>
      </c>
      <c r="Y47" s="29"/>
    </row>
    <row r="48" spans="3:25" ht="12.95" customHeight="1" x14ac:dyDescent="0.3">
      <c r="C48" s="40" t="str">
        <f>IF(data_주일!C314="","",data_주일!C314)</f>
        <v>김선희</v>
      </c>
      <c r="D48" s="86" t="str">
        <f>IF(data_주일!D314="","",data_주일!D314)</f>
        <v>최경숙</v>
      </c>
      <c r="E48" s="87"/>
      <c r="F48" s="40">
        <f>IF(data_주일!B314="","",data_주일!B314)</f>
        <v>11</v>
      </c>
      <c r="G48" s="46" t="str">
        <f>IF(data_주일!AE314=1,$C48,"")</f>
        <v/>
      </c>
      <c r="H48" s="46" t="str">
        <f>IF(data_주일!AF314=1,$C48,"")</f>
        <v/>
      </c>
      <c r="I48" s="46" t="str">
        <f>IF(data_주일!AG314=1,$C48,"")</f>
        <v/>
      </c>
      <c r="J48" s="46" t="str">
        <f>IF(data_주일!AH314=1,$C48,"")</f>
        <v/>
      </c>
      <c r="K48" s="46" t="str">
        <f>IF(data_주일!AI314=1,$C48,"")</f>
        <v/>
      </c>
      <c r="L48" s="46" t="str">
        <f>IF(data_주일!AJ314=1,$C48,"")</f>
        <v/>
      </c>
      <c r="M48" s="46" t="str">
        <f>IF(data_주일!AK314=1,$C48,"")</f>
        <v/>
      </c>
      <c r="N48" s="46" t="str">
        <f>IF(data_주일!AL314=1,$C48,"")</f>
        <v/>
      </c>
      <c r="O48" s="46" t="str">
        <f>IF(data_주일!AM314=1,$C48,"")</f>
        <v>김선희</v>
      </c>
      <c r="P48" s="46" t="str">
        <f>IF(data_주일!AN314=1,$C48,"")</f>
        <v/>
      </c>
      <c r="Q48" s="46" t="str">
        <f>IF(data_주일!AO314=1,$C48,"")</f>
        <v/>
      </c>
      <c r="R48" s="46" t="str">
        <f>IF(data_주일!AP314=1,$C48,"")</f>
        <v>김선희</v>
      </c>
      <c r="S48" s="46" t="str">
        <f>IF(data_주일!AQ314=1,$C48,"")</f>
        <v/>
      </c>
      <c r="Y48" s="29"/>
    </row>
    <row r="49" spans="3:25" ht="12.95" customHeight="1" x14ac:dyDescent="0.3">
      <c r="C49" s="40" t="str">
        <f>IF(data_주일!C315="","",data_주일!C315)</f>
        <v>송경애</v>
      </c>
      <c r="D49" s="86" t="str">
        <f>IF(data_주일!D315="","",data_주일!D315)</f>
        <v>조수자</v>
      </c>
      <c r="E49" s="87"/>
      <c r="F49" s="40">
        <f>IF(data_주일!B315="","",data_주일!B315)</f>
        <v>12</v>
      </c>
      <c r="G49" s="46" t="str">
        <f>IF(data_주일!AE315=1,$C49,"")</f>
        <v/>
      </c>
      <c r="H49" s="46" t="str">
        <f>IF(data_주일!AF315=1,$C49,"")</f>
        <v/>
      </c>
      <c r="I49" s="46" t="str">
        <f>IF(data_주일!AG315=1,$C49,"")</f>
        <v/>
      </c>
      <c r="J49" s="46" t="str">
        <f>IF(data_주일!AH315=1,$C49,"")</f>
        <v/>
      </c>
      <c r="K49" s="46" t="str">
        <f>IF(data_주일!AI315=1,$C49,"")</f>
        <v/>
      </c>
      <c r="L49" s="46" t="str">
        <f>IF(data_주일!AJ315=1,$C49,"")</f>
        <v>송경애</v>
      </c>
      <c r="M49" s="46" t="str">
        <f>IF(data_주일!AK315=1,$C49,"")</f>
        <v>송경애</v>
      </c>
      <c r="N49" s="46" t="str">
        <f>IF(data_주일!AL315=1,$C49,"")</f>
        <v/>
      </c>
      <c r="O49" s="46" t="str">
        <f>IF(data_주일!AM315=1,$C49,"")</f>
        <v>송경애</v>
      </c>
      <c r="P49" s="46" t="str">
        <f>IF(data_주일!AN315=1,$C49,"")</f>
        <v>송경애</v>
      </c>
      <c r="Q49" s="46" t="str">
        <f>IF(data_주일!AO315=1,$C49,"")</f>
        <v>송경애</v>
      </c>
      <c r="R49" s="46" t="str">
        <f>IF(data_주일!AP315=1,$C49,"")</f>
        <v>송경애</v>
      </c>
      <c r="S49" s="46" t="str">
        <f>IF(data_주일!AQ315=1,$C49,"")</f>
        <v/>
      </c>
      <c r="Y49" s="29"/>
    </row>
    <row r="50" spans="3:25" ht="12.95" customHeight="1" x14ac:dyDescent="0.3">
      <c r="C50" s="40" t="str">
        <f>IF(data_주일!C316="","",data_주일!C316)</f>
        <v>송세영</v>
      </c>
      <c r="D50" s="86" t="str">
        <f>IF(data_주일!D316="","",data_주일!D316)</f>
        <v>조수자</v>
      </c>
      <c r="E50" s="87"/>
      <c r="F50" s="40">
        <f>IF(data_주일!B316="","",data_주일!B316)</f>
        <v>12</v>
      </c>
      <c r="G50" s="46" t="str">
        <f>IF(data_주일!AE316=1,$C50,"")</f>
        <v/>
      </c>
      <c r="H50" s="46" t="str">
        <f>IF(data_주일!AF316=1,$C50,"")</f>
        <v/>
      </c>
      <c r="I50" s="46" t="str">
        <f>IF(data_주일!AG316=1,$C50,"")</f>
        <v/>
      </c>
      <c r="J50" s="46" t="str">
        <f>IF(data_주일!AH316=1,$C50,"")</f>
        <v/>
      </c>
      <c r="K50" s="46" t="str">
        <f>IF(data_주일!AI316=1,$C50,"")</f>
        <v/>
      </c>
      <c r="L50" s="46" t="str">
        <f>IF(data_주일!AJ316=1,$C50,"")</f>
        <v/>
      </c>
      <c r="M50" s="46" t="str">
        <f>IF(data_주일!AK316=1,$C50,"")</f>
        <v/>
      </c>
      <c r="N50" s="46" t="str">
        <f>IF(data_주일!AL316=1,$C50,"")</f>
        <v>송세영</v>
      </c>
      <c r="O50" s="46" t="str">
        <f>IF(data_주일!AM316=1,$C50,"")</f>
        <v>송세영</v>
      </c>
      <c r="P50" s="46" t="str">
        <f>IF(data_주일!AN316=1,$C50,"")</f>
        <v>송세영</v>
      </c>
      <c r="Q50" s="46" t="str">
        <f>IF(data_주일!AO316=1,$C50,"")</f>
        <v>송세영</v>
      </c>
      <c r="R50" s="46" t="str">
        <f>IF(data_주일!AP316=1,$C50,"")</f>
        <v>송세영</v>
      </c>
      <c r="S50" s="46" t="str">
        <f>IF(data_주일!AQ316=1,$C50,"")</f>
        <v/>
      </c>
      <c r="Y50" s="29"/>
    </row>
    <row r="51" spans="3:25" ht="12.95" customHeight="1" x14ac:dyDescent="0.3">
      <c r="C51" s="40" t="str">
        <f>IF(data_주일!C317="","",data_주일!C317)</f>
        <v>송기영</v>
      </c>
      <c r="D51" s="86" t="str">
        <f>IF(data_주일!D317="","",data_주일!D317)</f>
        <v>양애란</v>
      </c>
      <c r="E51" s="87"/>
      <c r="F51" s="40">
        <f>IF(data_주일!B317="","",data_주일!B317)</f>
        <v>12</v>
      </c>
      <c r="G51" s="46" t="str">
        <f>IF(data_주일!AE317=1,$C51,"")</f>
        <v/>
      </c>
      <c r="H51" s="46" t="str">
        <f>IF(data_주일!AF317=1,$C51,"")</f>
        <v/>
      </c>
      <c r="I51" s="46" t="str">
        <f>IF(data_주일!AG317=1,$C51,"")</f>
        <v/>
      </c>
      <c r="J51" s="46" t="str">
        <f>IF(data_주일!AH317=1,$C51,"")</f>
        <v/>
      </c>
      <c r="K51" s="46" t="str">
        <f>IF(data_주일!AI317=1,$C51,"")</f>
        <v/>
      </c>
      <c r="L51" s="46" t="str">
        <f>IF(data_주일!AJ317=1,$C51,"")</f>
        <v/>
      </c>
      <c r="M51" s="46" t="str">
        <f>IF(data_주일!AK317=1,$C51,"")</f>
        <v/>
      </c>
      <c r="N51" s="46" t="str">
        <f>IF(data_주일!AL317=1,$C51,"")</f>
        <v>송기영</v>
      </c>
      <c r="O51" s="46" t="str">
        <f>IF(data_주일!AM317=1,$C51,"")</f>
        <v>송기영</v>
      </c>
      <c r="P51" s="46" t="str">
        <f>IF(data_주일!AN317=1,$C51,"")</f>
        <v>송기영</v>
      </c>
      <c r="Q51" s="46" t="str">
        <f>IF(data_주일!AO317=1,$C51,"")</f>
        <v>송기영</v>
      </c>
      <c r="R51" s="46" t="str">
        <f>IF(data_주일!AP317=1,$C51,"")</f>
        <v>송기영</v>
      </c>
      <c r="S51" s="46" t="str">
        <f>IF(data_주일!AQ317=1,$C51,"")</f>
        <v/>
      </c>
      <c r="Y51" s="29"/>
    </row>
    <row r="52" spans="3:25" ht="12.95" customHeight="1" x14ac:dyDescent="0.3">
      <c r="C52" s="40" t="str">
        <f>IF(data_주일!C318="","",data_주일!C318)</f>
        <v>신현금</v>
      </c>
      <c r="D52" s="86" t="str">
        <f>IF(data_주일!D318="","",data_주일!D318)</f>
        <v>김재홍</v>
      </c>
      <c r="E52" s="87"/>
      <c r="F52" s="40">
        <f>IF(data_주일!B318="","",data_주일!B318)</f>
        <v>21</v>
      </c>
      <c r="G52" s="46" t="str">
        <f>IF(data_주일!AE318=1,$C52,"")</f>
        <v/>
      </c>
      <c r="H52" s="46" t="str">
        <f>IF(data_주일!AF318=1,$C52,"")</f>
        <v/>
      </c>
      <c r="I52" s="46" t="str">
        <f>IF(data_주일!AG318=1,$C52,"")</f>
        <v/>
      </c>
      <c r="J52" s="46" t="str">
        <f>IF(data_주일!AH318=1,$C52,"")</f>
        <v/>
      </c>
      <c r="K52" s="46" t="str">
        <f>IF(data_주일!AI318=1,$C52,"")</f>
        <v/>
      </c>
      <c r="L52" s="46" t="str">
        <f>IF(data_주일!AJ318=1,$C52,"")</f>
        <v/>
      </c>
      <c r="M52" s="46" t="str">
        <f>IF(data_주일!AK318=1,$C52,"")</f>
        <v/>
      </c>
      <c r="N52" s="46" t="str">
        <f>IF(data_주일!AL318=1,$C52,"")</f>
        <v/>
      </c>
      <c r="O52" s="46" t="str">
        <f>IF(data_주일!AM318=1,$C52,"")</f>
        <v/>
      </c>
      <c r="P52" s="46" t="str">
        <f>IF(data_주일!AN318=1,$C52,"")</f>
        <v/>
      </c>
      <c r="Q52" s="46" t="str">
        <f>IF(data_주일!AO318=1,$C52,"")</f>
        <v/>
      </c>
      <c r="R52" s="46" t="str">
        <f>IF(data_주일!AP318=1,$C52,"")</f>
        <v>신현금</v>
      </c>
      <c r="S52" s="46" t="str">
        <f>IF(data_주일!AQ318=1,$C52,"")</f>
        <v/>
      </c>
      <c r="Y52" s="29"/>
    </row>
    <row r="53" spans="3:25" ht="12.95" customHeight="1" x14ac:dyDescent="0.3">
      <c r="C53" s="40" t="str">
        <f>IF(data_주일!C319="","",data_주일!C319)</f>
        <v>노정희</v>
      </c>
      <c r="D53" s="86" t="str">
        <f>IF(data_주일!D319="","",data_주일!D319)</f>
        <v>박점숙</v>
      </c>
      <c r="E53" s="87"/>
      <c r="F53" s="40">
        <f>IF(data_주일!B319="","",data_주일!B319)</f>
        <v>21</v>
      </c>
      <c r="G53" s="46" t="str">
        <f>IF(data_주일!AE319=1,$C53,"")</f>
        <v/>
      </c>
      <c r="H53" s="46" t="str">
        <f>IF(data_주일!AF319=1,$C53,"")</f>
        <v/>
      </c>
      <c r="I53" s="46" t="str">
        <f>IF(data_주일!AG319=1,$C53,"")</f>
        <v/>
      </c>
      <c r="J53" s="46" t="str">
        <f>IF(data_주일!AH319=1,$C53,"")</f>
        <v>노정희</v>
      </c>
      <c r="K53" s="46" t="str">
        <f>IF(data_주일!AI319=1,$C53,"")</f>
        <v>노정희</v>
      </c>
      <c r="L53" s="46" t="str">
        <f>IF(data_주일!AJ319=1,$C53,"")</f>
        <v>노정희</v>
      </c>
      <c r="M53" s="46" t="str">
        <f>IF(data_주일!AK319=1,$C53,"")</f>
        <v/>
      </c>
      <c r="N53" s="46" t="str">
        <f>IF(data_주일!AL319=1,$C53,"")</f>
        <v>노정희</v>
      </c>
      <c r="O53" s="46" t="str">
        <f>IF(data_주일!AM319=1,$C53,"")</f>
        <v>노정희</v>
      </c>
      <c r="P53" s="46" t="str">
        <f>IF(data_주일!AN319=1,$C53,"")</f>
        <v>노정희</v>
      </c>
      <c r="Q53" s="46" t="str">
        <f>IF(data_주일!AO319=1,$C53,"")</f>
        <v>노정희</v>
      </c>
      <c r="R53" s="46" t="str">
        <f>IF(data_주일!AP319=1,$C53,"")</f>
        <v>노정희</v>
      </c>
      <c r="S53" s="46" t="str">
        <f>IF(data_주일!AQ319=1,$C53,"")</f>
        <v/>
      </c>
      <c r="Y53" s="29"/>
    </row>
    <row r="54" spans="3:25" ht="12.95" customHeight="1" x14ac:dyDescent="0.3">
      <c r="C54" s="40" t="str">
        <f>IF(data_주일!C320="","",data_주일!C320)</f>
        <v>박지혜</v>
      </c>
      <c r="D54" s="86" t="str">
        <f>IF(data_주일!D320="","",data_주일!D320)</f>
        <v>배미숙</v>
      </c>
      <c r="E54" s="87"/>
      <c r="F54" s="40">
        <f>IF(data_주일!B320="","",data_주일!B320)</f>
        <v>22</v>
      </c>
      <c r="G54" s="46" t="str">
        <f>IF(data_주일!AE320=1,$C54,"")</f>
        <v/>
      </c>
      <c r="H54" s="46" t="str">
        <f>IF(data_주일!AF320=1,$C54,"")</f>
        <v/>
      </c>
      <c r="I54" s="46" t="str">
        <f>IF(data_주일!AG320=1,$C54,"")</f>
        <v/>
      </c>
      <c r="J54" s="46" t="str">
        <f>IF(data_주일!AH320=1,$C54,"")</f>
        <v/>
      </c>
      <c r="K54" s="46" t="str">
        <f>IF(data_주일!AI320=1,$C54,"")</f>
        <v/>
      </c>
      <c r="L54" s="46" t="str">
        <f>IF(data_주일!AJ320=1,$C54,"")</f>
        <v/>
      </c>
      <c r="M54" s="46" t="str">
        <f>IF(data_주일!AK320=1,$C54,"")</f>
        <v/>
      </c>
      <c r="N54" s="46" t="str">
        <f>IF(data_주일!AL320=1,$C54,"")</f>
        <v/>
      </c>
      <c r="O54" s="46" t="str">
        <f>IF(data_주일!AM320=1,$C54,"")</f>
        <v/>
      </c>
      <c r="P54" s="46" t="str">
        <f>IF(data_주일!AN320=1,$C54,"")</f>
        <v/>
      </c>
      <c r="Q54" s="46" t="str">
        <f>IF(data_주일!AO320=1,$C54,"")</f>
        <v>박지혜</v>
      </c>
      <c r="R54" s="46" t="str">
        <f>IF(data_주일!AP320=1,$C54,"")</f>
        <v>박지혜</v>
      </c>
      <c r="S54" s="46" t="str">
        <f>IF(data_주일!AQ320=1,$C54,"")</f>
        <v/>
      </c>
      <c r="Y54" s="29"/>
    </row>
    <row r="55" spans="3:25" ht="12.95" customHeight="1" x14ac:dyDescent="0.3">
      <c r="C55" s="40" t="str">
        <f>IF(data_주일!C321="","",data_주일!C321)</f>
        <v>김창명</v>
      </c>
      <c r="D55" s="86" t="str">
        <f>IF(data_주일!D321="","",data_주일!D321)</f>
        <v>배미숙</v>
      </c>
      <c r="E55" s="87"/>
      <c r="F55" s="40">
        <f>IF(data_주일!B321="","",data_주일!B321)</f>
        <v>22</v>
      </c>
      <c r="G55" s="46" t="str">
        <f>IF(data_주일!AE321=1,$C55,"")</f>
        <v/>
      </c>
      <c r="H55" s="46" t="str">
        <f>IF(data_주일!AF321=1,$C55,"")</f>
        <v/>
      </c>
      <c r="I55" s="46" t="str">
        <f>IF(data_주일!AG321=1,$C55,"")</f>
        <v/>
      </c>
      <c r="J55" s="46" t="str">
        <f>IF(data_주일!AH321=1,$C55,"")</f>
        <v/>
      </c>
      <c r="K55" s="46" t="str">
        <f>IF(data_주일!AI321=1,$C55,"")</f>
        <v>김창명</v>
      </c>
      <c r="L55" s="46" t="str">
        <f>IF(data_주일!AJ321=1,$C55,"")</f>
        <v>김창명</v>
      </c>
      <c r="M55" s="46" t="str">
        <f>IF(data_주일!AK321=1,$C55,"")</f>
        <v>김창명</v>
      </c>
      <c r="N55" s="46" t="str">
        <f>IF(data_주일!AL321=1,$C55,"")</f>
        <v>김창명</v>
      </c>
      <c r="O55" s="46" t="str">
        <f>IF(data_주일!AM321=1,$C55,"")</f>
        <v/>
      </c>
      <c r="P55" s="46" t="str">
        <f>IF(data_주일!AN321=1,$C55,"")</f>
        <v/>
      </c>
      <c r="Q55" s="46" t="str">
        <f>IF(data_주일!AO321=1,$C55,"")</f>
        <v>김창명</v>
      </c>
      <c r="R55" s="46" t="str">
        <f>IF(data_주일!AP321=1,$C55,"")</f>
        <v>김창명</v>
      </c>
      <c r="S55" s="46" t="str">
        <f>IF(data_주일!AQ321=1,$C55,"")</f>
        <v/>
      </c>
      <c r="Y55" s="29"/>
    </row>
    <row r="56" spans="3:25" ht="12.95" customHeight="1" x14ac:dyDescent="0.3">
      <c r="C56" s="40" t="str">
        <f>IF(data_주일!C322="","",data_주일!C322)</f>
        <v>김태형</v>
      </c>
      <c r="D56" s="86" t="str">
        <f>IF(data_주일!D322="","",data_주일!D322)</f>
        <v>김창명</v>
      </c>
      <c r="E56" s="87"/>
      <c r="F56" s="40">
        <f>IF(data_주일!B322="","",data_주일!B322)</f>
        <v>22</v>
      </c>
      <c r="G56" s="46" t="str">
        <f>IF(data_주일!AE322=1,$C56,"")</f>
        <v/>
      </c>
      <c r="H56" s="46" t="str">
        <f>IF(data_주일!AF322=1,$C56,"")</f>
        <v/>
      </c>
      <c r="I56" s="46" t="str">
        <f>IF(data_주일!AG322=1,$C56,"")</f>
        <v/>
      </c>
      <c r="J56" s="46" t="str">
        <f>IF(data_주일!AH322=1,$C56,"")</f>
        <v/>
      </c>
      <c r="K56" s="46" t="str">
        <f>IF(data_주일!AI322=1,$C56,"")</f>
        <v/>
      </c>
      <c r="L56" s="46" t="str">
        <f>IF(data_주일!AJ322=1,$C56,"")</f>
        <v/>
      </c>
      <c r="M56" s="46" t="str">
        <f>IF(data_주일!AK322=1,$C56,"")</f>
        <v>김태형</v>
      </c>
      <c r="N56" s="46" t="str">
        <f>IF(data_주일!AL322=1,$C56,"")</f>
        <v>김태형</v>
      </c>
      <c r="O56" s="46" t="str">
        <f>IF(data_주일!AM322=1,$C56,"")</f>
        <v/>
      </c>
      <c r="P56" s="46" t="str">
        <f>IF(data_주일!AN322=1,$C56,"")</f>
        <v>김태형</v>
      </c>
      <c r="Q56" s="46" t="str">
        <f>IF(data_주일!AO322=1,$C56,"")</f>
        <v/>
      </c>
      <c r="R56" s="46" t="str">
        <f>IF(data_주일!AP322=1,$C56,"")</f>
        <v>김태형</v>
      </c>
      <c r="S56" s="46" t="str">
        <f>IF(data_주일!AQ322=1,$C56,"")</f>
        <v/>
      </c>
      <c r="Y56" s="29"/>
    </row>
    <row r="57" spans="3:25" ht="12.95" customHeight="1" x14ac:dyDescent="0.3">
      <c r="C57" s="40" t="str">
        <f>IF(data_주일!C323="","",data_주일!C323)</f>
        <v>이경옥</v>
      </c>
      <c r="D57" s="86" t="str">
        <f>IF(data_주일!D323="","",data_주일!D323)</f>
        <v>배미숙</v>
      </c>
      <c r="E57" s="87"/>
      <c r="F57" s="40">
        <f>IF(data_주일!B323="","",data_주일!B323)</f>
        <v>22</v>
      </c>
      <c r="G57" s="46" t="str">
        <f>IF(data_주일!AE323=1,$C57,"")</f>
        <v>이경옥</v>
      </c>
      <c r="H57" s="46" t="str">
        <f>IF(data_주일!AF323=1,$C57,"")</f>
        <v>이경옥</v>
      </c>
      <c r="I57" s="46" t="str">
        <f>IF(data_주일!AG323=1,$C57,"")</f>
        <v>이경옥</v>
      </c>
      <c r="J57" s="46" t="str">
        <f>IF(data_주일!AH323=1,$C57,"")</f>
        <v>이경옥</v>
      </c>
      <c r="K57" s="46" t="str">
        <f>IF(data_주일!AI323=1,$C57,"")</f>
        <v/>
      </c>
      <c r="L57" s="46" t="str">
        <f>IF(data_주일!AJ323=1,$C57,"")</f>
        <v/>
      </c>
      <c r="M57" s="46" t="str">
        <f>IF(data_주일!AK323=1,$C57,"")</f>
        <v/>
      </c>
      <c r="N57" s="46" t="str">
        <f>IF(data_주일!AL323=1,$C57,"")</f>
        <v/>
      </c>
      <c r="O57" s="46" t="str">
        <f>IF(data_주일!AM323=1,$C57,"")</f>
        <v/>
      </c>
      <c r="P57" s="46" t="str">
        <f>IF(data_주일!AN323=1,$C57,"")</f>
        <v>이경옥</v>
      </c>
      <c r="Q57" s="46" t="str">
        <f>IF(data_주일!AO323=1,$C57,"")</f>
        <v>이경옥</v>
      </c>
      <c r="R57" s="46" t="str">
        <f>IF(data_주일!AP323=1,$C57,"")</f>
        <v>이경옥</v>
      </c>
      <c r="S57" s="46" t="str">
        <f>IF(data_주일!AQ323=1,$C57,"")</f>
        <v/>
      </c>
      <c r="Y57" s="29"/>
    </row>
    <row r="58" spans="3:25" ht="12.95" customHeight="1" x14ac:dyDescent="0.3">
      <c r="C58" s="40" t="str">
        <f>IF(data_주일!C324="","",data_주일!C324)</f>
        <v>이순자</v>
      </c>
      <c r="D58" s="86" t="str">
        <f>IF(data_주일!D324="","",data_주일!D324)</f>
        <v>박미옥</v>
      </c>
      <c r="E58" s="87"/>
      <c r="F58" s="40">
        <f>IF(data_주일!B324="","",data_주일!B324)</f>
        <v>22</v>
      </c>
      <c r="G58" s="46" t="str">
        <f>IF(data_주일!AE324=1,$C58,"")</f>
        <v/>
      </c>
      <c r="H58" s="46" t="str">
        <f>IF(data_주일!AF324=1,$C58,"")</f>
        <v>이순자</v>
      </c>
      <c r="I58" s="46" t="str">
        <f>IF(data_주일!AG324=1,$C58,"")</f>
        <v/>
      </c>
      <c r="J58" s="46" t="str">
        <f>IF(data_주일!AH324=1,$C58,"")</f>
        <v/>
      </c>
      <c r="K58" s="46" t="str">
        <f>IF(data_주일!AI324=1,$C58,"")</f>
        <v/>
      </c>
      <c r="L58" s="46" t="str">
        <f>IF(data_주일!AJ324=1,$C58,"")</f>
        <v/>
      </c>
      <c r="M58" s="46" t="str">
        <f>IF(data_주일!AK324=1,$C58,"")</f>
        <v/>
      </c>
      <c r="N58" s="46" t="str">
        <f>IF(data_주일!AL324=1,$C58,"")</f>
        <v/>
      </c>
      <c r="O58" s="46" t="str">
        <f>IF(data_주일!AM324=1,$C58,"")</f>
        <v/>
      </c>
      <c r="P58" s="46" t="str">
        <f>IF(data_주일!AN324=1,$C58,"")</f>
        <v/>
      </c>
      <c r="Q58" s="46" t="str">
        <f>IF(data_주일!AO324=1,$C58,"")</f>
        <v/>
      </c>
      <c r="R58" s="46" t="str">
        <f>IF(data_주일!AP324=1,$C58,"")</f>
        <v/>
      </c>
      <c r="S58" s="46" t="str">
        <f>IF(data_주일!AQ324=1,$C58,"")</f>
        <v/>
      </c>
      <c r="Y58" s="29"/>
    </row>
    <row r="59" spans="3:25" ht="12.95" customHeight="1" x14ac:dyDescent="0.3">
      <c r="C59" s="40" t="str">
        <f>IF(data_주일!C325="","",data_주일!C325)</f>
        <v>정니영</v>
      </c>
      <c r="D59" s="86" t="str">
        <f>IF(data_주일!D325="","",data_주일!D325)</f>
        <v>박미옥</v>
      </c>
      <c r="E59" s="87"/>
      <c r="F59" s="40">
        <f>IF(data_주일!B325="","",data_주일!B325)</f>
        <v>22</v>
      </c>
      <c r="G59" s="46" t="str">
        <f>IF(data_주일!AE325=1,$C59,"")</f>
        <v>정니영</v>
      </c>
      <c r="H59" s="46" t="str">
        <f>IF(data_주일!AF325=1,$C59,"")</f>
        <v>정니영</v>
      </c>
      <c r="I59" s="46" t="str">
        <f>IF(data_주일!AG325=1,$C59,"")</f>
        <v>정니영</v>
      </c>
      <c r="J59" s="46" t="str">
        <f>IF(data_주일!AH325=1,$C59,"")</f>
        <v/>
      </c>
      <c r="K59" s="46" t="str">
        <f>IF(data_주일!AI325=1,$C59,"")</f>
        <v>정니영</v>
      </c>
      <c r="L59" s="46" t="str">
        <f>IF(data_주일!AJ325=1,$C59,"")</f>
        <v>정니영</v>
      </c>
      <c r="M59" s="46" t="str">
        <f>IF(data_주일!AK325=1,$C59,"")</f>
        <v>정니영</v>
      </c>
      <c r="N59" s="46" t="str">
        <f>IF(data_주일!AL325=1,$C59,"")</f>
        <v>정니영</v>
      </c>
      <c r="O59" s="46" t="str">
        <f>IF(data_주일!AM325=1,$C59,"")</f>
        <v/>
      </c>
      <c r="P59" s="46" t="str">
        <f>IF(data_주일!AN325=1,$C59,"")</f>
        <v/>
      </c>
      <c r="Q59" s="46" t="str">
        <f>IF(data_주일!AO325=1,$C59,"")</f>
        <v>정니영</v>
      </c>
      <c r="R59" s="46" t="str">
        <f>IF(data_주일!AP325=1,$C59,"")</f>
        <v>정니영</v>
      </c>
      <c r="S59" s="46" t="str">
        <f>IF(data_주일!AQ325=1,$C59,"")</f>
        <v/>
      </c>
      <c r="Y59" s="29"/>
    </row>
    <row r="60" spans="3:25" ht="12.95" customHeight="1" x14ac:dyDescent="0.3">
      <c r="C60" s="40" t="str">
        <f>IF(data_주일!C326="","",data_주일!C326)</f>
        <v>김명선</v>
      </c>
      <c r="D60" s="86" t="str">
        <f>IF(data_주일!D326="","",data_주일!D326)</f>
        <v>김명선</v>
      </c>
      <c r="E60" s="87"/>
      <c r="F60" s="40">
        <f>IF(data_주일!B326="","",data_주일!B326)</f>
        <v>31</v>
      </c>
      <c r="G60" s="46" t="str">
        <f>IF(data_주일!AE326=1,$C60,"")</f>
        <v>김명선</v>
      </c>
      <c r="H60" s="46" t="str">
        <f>IF(data_주일!AF326=1,$C60,"")</f>
        <v>김명선</v>
      </c>
      <c r="I60" s="46" t="str">
        <f>IF(data_주일!AG326=1,$C60,"")</f>
        <v/>
      </c>
      <c r="J60" s="46" t="str">
        <f>IF(data_주일!AH326=1,$C60,"")</f>
        <v>김명선</v>
      </c>
      <c r="K60" s="46" t="str">
        <f>IF(data_주일!AI326=1,$C60,"")</f>
        <v>김명선</v>
      </c>
      <c r="L60" s="46" t="str">
        <f>IF(data_주일!AJ326=1,$C60,"")</f>
        <v>김명선</v>
      </c>
      <c r="M60" s="46" t="str">
        <f>IF(data_주일!AK326=1,$C60,"")</f>
        <v>김명선</v>
      </c>
      <c r="N60" s="46" t="str">
        <f>IF(data_주일!AL326=1,$C60,"")</f>
        <v>김명선</v>
      </c>
      <c r="O60" s="46" t="str">
        <f>IF(data_주일!AM326=1,$C60,"")</f>
        <v/>
      </c>
      <c r="P60" s="46" t="str">
        <f>IF(data_주일!AN326=1,$C60,"")</f>
        <v>김명선</v>
      </c>
      <c r="Q60" s="46" t="str">
        <f>IF(data_주일!AO326=1,$C60,"")</f>
        <v>김명선</v>
      </c>
      <c r="R60" s="46" t="str">
        <f>IF(data_주일!AP326=1,$C60,"")</f>
        <v/>
      </c>
      <c r="S60" s="46" t="str">
        <f>IF(data_주일!AQ326=1,$C60,"")</f>
        <v/>
      </c>
      <c r="Y60" s="29"/>
    </row>
    <row r="61" spans="3:25" ht="12.95" customHeight="1" x14ac:dyDescent="0.3">
      <c r="C61" s="40" t="str">
        <f>IF(data_주일!C327="","",data_주일!C327)</f>
        <v>이윤정</v>
      </c>
      <c r="D61" s="86" t="str">
        <f>IF(data_주일!D327="","",data_주일!D327)</f>
        <v>이숙이</v>
      </c>
      <c r="E61" s="87"/>
      <c r="F61" s="40">
        <f>IF(data_주일!B327="","",data_주일!B327)</f>
        <v>31</v>
      </c>
      <c r="G61" s="46" t="str">
        <f>IF(data_주일!AE327=1,$C61,"")</f>
        <v/>
      </c>
      <c r="H61" s="46" t="str">
        <f>IF(data_주일!AF327=1,$C61,"")</f>
        <v/>
      </c>
      <c r="I61" s="46" t="str">
        <f>IF(data_주일!AG327=1,$C61,"")</f>
        <v/>
      </c>
      <c r="J61" s="46" t="str">
        <f>IF(data_주일!AH327=1,$C61,"")</f>
        <v/>
      </c>
      <c r="K61" s="46" t="str">
        <f>IF(data_주일!AI327=1,$C61,"")</f>
        <v/>
      </c>
      <c r="L61" s="46" t="str">
        <f>IF(data_주일!AJ327=1,$C61,"")</f>
        <v/>
      </c>
      <c r="M61" s="46" t="str">
        <f>IF(data_주일!AK327=1,$C61,"")</f>
        <v/>
      </c>
      <c r="N61" s="46" t="str">
        <f>IF(data_주일!AL327=1,$C61,"")</f>
        <v/>
      </c>
      <c r="O61" s="46" t="str">
        <f>IF(data_주일!AM327=1,$C61,"")</f>
        <v/>
      </c>
      <c r="P61" s="46" t="str">
        <f>IF(data_주일!AN327=1,$C61,"")</f>
        <v>이윤정</v>
      </c>
      <c r="Q61" s="46" t="str">
        <f>IF(data_주일!AO327=1,$C61,"")</f>
        <v/>
      </c>
      <c r="R61" s="46" t="str">
        <f>IF(data_주일!AP327=1,$C61,"")</f>
        <v/>
      </c>
      <c r="S61" s="46" t="str">
        <f>IF(data_주일!AQ327=1,$C61,"")</f>
        <v/>
      </c>
      <c r="Y61" s="29"/>
    </row>
    <row r="62" spans="3:25" ht="12.95" customHeight="1" x14ac:dyDescent="0.3">
      <c r="C62" s="40" t="str">
        <f>IF(data_주일!C328="","",data_주일!C328)</f>
        <v>정양선</v>
      </c>
      <c r="D62" s="86" t="str">
        <f>IF(data_주일!D328="","",data_주일!D328)</f>
        <v>이미화</v>
      </c>
      <c r="E62" s="87"/>
      <c r="F62" s="40">
        <f>IF(data_주일!B328="","",data_주일!B328)</f>
        <v>32</v>
      </c>
      <c r="G62" s="46" t="str">
        <f>IF(data_주일!AE328=1,$C62,"")</f>
        <v>정양선</v>
      </c>
      <c r="H62" s="46" t="str">
        <f>IF(data_주일!AF328=1,$C62,"")</f>
        <v/>
      </c>
      <c r="I62" s="46" t="str">
        <f>IF(data_주일!AG328=1,$C62,"")</f>
        <v/>
      </c>
      <c r="J62" s="46" t="str">
        <f>IF(data_주일!AH328=1,$C62,"")</f>
        <v>정양선</v>
      </c>
      <c r="K62" s="46" t="str">
        <f>IF(data_주일!AI328=1,$C62,"")</f>
        <v/>
      </c>
      <c r="L62" s="46" t="str">
        <f>IF(data_주일!AJ328=1,$C62,"")</f>
        <v>정양선</v>
      </c>
      <c r="M62" s="46" t="str">
        <f>IF(data_주일!AK328=1,$C62,"")</f>
        <v/>
      </c>
      <c r="N62" s="46" t="str">
        <f>IF(data_주일!AL328=1,$C62,"")</f>
        <v/>
      </c>
      <c r="O62" s="46" t="str">
        <f>IF(data_주일!AM328=1,$C62,"")</f>
        <v/>
      </c>
      <c r="P62" s="46" t="str">
        <f>IF(data_주일!AN328=1,$C62,"")</f>
        <v/>
      </c>
      <c r="Q62" s="46" t="str">
        <f>IF(data_주일!AO328=1,$C62,"")</f>
        <v>정양선</v>
      </c>
      <c r="R62" s="46" t="str">
        <f>IF(data_주일!AP328=1,$C62,"")</f>
        <v/>
      </c>
      <c r="S62" s="46" t="str">
        <f>IF(data_주일!AQ328=1,$C62,"")</f>
        <v/>
      </c>
      <c r="Y62" s="29"/>
    </row>
    <row r="63" spans="3:25" ht="12.95" customHeight="1" x14ac:dyDescent="0.3">
      <c r="C63" s="40" t="str">
        <f>IF(data_주일!C329="","",data_주일!C329)</f>
        <v>최영욱</v>
      </c>
      <c r="D63" s="86" t="str">
        <f>IF(data_주일!D329="","",data_주일!D329)</f>
        <v>최명희</v>
      </c>
      <c r="E63" s="87"/>
      <c r="F63" s="40">
        <f>IF(data_주일!B329="","",data_주일!B329)</f>
        <v>32</v>
      </c>
      <c r="G63" s="46" t="str">
        <f>IF(data_주일!AE329=1,$C63,"")</f>
        <v/>
      </c>
      <c r="H63" s="46" t="str">
        <f>IF(data_주일!AF329=1,$C63,"")</f>
        <v/>
      </c>
      <c r="I63" s="46" t="str">
        <f>IF(data_주일!AG329=1,$C63,"")</f>
        <v/>
      </c>
      <c r="J63" s="46" t="str">
        <f>IF(data_주일!AH329=1,$C63,"")</f>
        <v/>
      </c>
      <c r="K63" s="46" t="str">
        <f>IF(data_주일!AI329=1,$C63,"")</f>
        <v/>
      </c>
      <c r="L63" s="46" t="str">
        <f>IF(data_주일!AJ329=1,$C63,"")</f>
        <v/>
      </c>
      <c r="M63" s="46" t="str">
        <f>IF(data_주일!AK329=1,$C63,"")</f>
        <v/>
      </c>
      <c r="N63" s="46" t="str">
        <f>IF(data_주일!AL329=1,$C63,"")</f>
        <v/>
      </c>
      <c r="O63" s="46" t="str">
        <f>IF(data_주일!AM329=1,$C63,"")</f>
        <v/>
      </c>
      <c r="P63" s="46" t="str">
        <f>IF(data_주일!AN329=1,$C63,"")</f>
        <v/>
      </c>
      <c r="Q63" s="46" t="str">
        <f>IF(data_주일!AO329=1,$C63,"")</f>
        <v/>
      </c>
      <c r="R63" s="46" t="str">
        <f>IF(data_주일!AP329=1,$C63,"")</f>
        <v/>
      </c>
      <c r="S63" s="46" t="str">
        <f>IF(data_주일!AQ329=1,$C63,"")</f>
        <v/>
      </c>
      <c r="Y63" s="29"/>
    </row>
    <row r="64" spans="3:25" ht="12.95" customHeight="1" x14ac:dyDescent="0.3">
      <c r="C64" s="40" t="str">
        <f>IF(data_주일!C330="","",data_주일!C330)</f>
        <v>최명희</v>
      </c>
      <c r="D64" s="86" t="str">
        <f>IF(data_주일!D330="","",data_주일!D330)</f>
        <v>윤영희</v>
      </c>
      <c r="E64" s="87"/>
      <c r="F64" s="40">
        <f>IF(data_주일!B330="","",data_주일!B330)</f>
        <v>32</v>
      </c>
      <c r="G64" s="46" t="str">
        <f>IF(data_주일!AE330=1,$C64,"")</f>
        <v/>
      </c>
      <c r="H64" s="46" t="str">
        <f>IF(data_주일!AF330=1,$C64,"")</f>
        <v/>
      </c>
      <c r="I64" s="46" t="str">
        <f>IF(data_주일!AG330=1,$C64,"")</f>
        <v/>
      </c>
      <c r="J64" s="46" t="str">
        <f>IF(data_주일!AH330=1,$C64,"")</f>
        <v/>
      </c>
      <c r="K64" s="46" t="str">
        <f>IF(data_주일!AI330=1,$C64,"")</f>
        <v/>
      </c>
      <c r="L64" s="46" t="str">
        <f>IF(data_주일!AJ330=1,$C64,"")</f>
        <v/>
      </c>
      <c r="M64" s="46" t="str">
        <f>IF(data_주일!AK330=1,$C64,"")</f>
        <v/>
      </c>
      <c r="N64" s="46" t="str">
        <f>IF(data_주일!AL330=1,$C64,"")</f>
        <v/>
      </c>
      <c r="O64" s="46" t="str">
        <f>IF(data_주일!AM330=1,$C64,"")</f>
        <v/>
      </c>
      <c r="P64" s="46" t="str">
        <f>IF(data_주일!AN330=1,$C64,"")</f>
        <v/>
      </c>
      <c r="Q64" s="46" t="str">
        <f>IF(data_주일!AO330=1,$C64,"")</f>
        <v/>
      </c>
      <c r="R64" s="46" t="str">
        <f>IF(data_주일!AP330=1,$C64,"")</f>
        <v/>
      </c>
      <c r="S64" s="46" t="str">
        <f>IF(data_주일!AQ330=1,$C64,"")</f>
        <v/>
      </c>
      <c r="Y64" s="29"/>
    </row>
    <row r="65" spans="3:25" ht="12.95" customHeight="1" x14ac:dyDescent="0.3">
      <c r="C65" s="40" t="str">
        <f>IF(data_주일!C331="","",data_주일!C331)</f>
        <v>이예인</v>
      </c>
      <c r="D65" s="86" t="str">
        <f>IF(data_주일!D331="","",data_주일!D331)</f>
        <v>오은경</v>
      </c>
      <c r="E65" s="87"/>
      <c r="F65" s="40">
        <f>IF(data_주일!B331="","",data_주일!B331)</f>
        <v>32</v>
      </c>
      <c r="G65" s="46" t="str">
        <f>IF(data_주일!AE331=1,$C65,"")</f>
        <v/>
      </c>
      <c r="H65" s="46" t="str">
        <f>IF(data_주일!AF331=1,$C65,"")</f>
        <v/>
      </c>
      <c r="I65" s="46" t="str">
        <f>IF(data_주일!AG331=1,$C65,"")</f>
        <v/>
      </c>
      <c r="J65" s="46" t="str">
        <f>IF(data_주일!AH331=1,$C65,"")</f>
        <v>이예인</v>
      </c>
      <c r="K65" s="46" t="str">
        <f>IF(data_주일!AI331=1,$C65,"")</f>
        <v/>
      </c>
      <c r="L65" s="46" t="str">
        <f>IF(data_주일!AJ331=1,$C65,"")</f>
        <v>이예인</v>
      </c>
      <c r="M65" s="46" t="str">
        <f>IF(data_주일!AK331=1,$C65,"")</f>
        <v/>
      </c>
      <c r="N65" s="46" t="str">
        <f>IF(data_주일!AL331=1,$C65,"")</f>
        <v/>
      </c>
      <c r="O65" s="46" t="str">
        <f>IF(data_주일!AM331=1,$C65,"")</f>
        <v/>
      </c>
      <c r="P65" s="46" t="str">
        <f>IF(data_주일!AN331=1,$C65,"")</f>
        <v/>
      </c>
      <c r="Q65" s="46" t="str">
        <f>IF(data_주일!AO331=1,$C65,"")</f>
        <v/>
      </c>
      <c r="R65" s="46" t="str">
        <f>IF(data_주일!AP331=1,$C65,"")</f>
        <v>이예인</v>
      </c>
      <c r="S65" s="46" t="str">
        <f>IF(data_주일!AQ331=1,$C65,"")</f>
        <v/>
      </c>
      <c r="Y65" s="29"/>
    </row>
    <row r="66" spans="3:25" ht="12.95" customHeight="1" x14ac:dyDescent="0.3">
      <c r="C66" s="40" t="str">
        <f>IF(data_주일!C332="","",data_주일!C332)</f>
        <v>오상진</v>
      </c>
      <c r="D66" s="86" t="str">
        <f>IF(data_주일!D332="","",data_주일!D332)</f>
        <v>최명희</v>
      </c>
      <c r="E66" s="87"/>
      <c r="F66" s="40">
        <f>IF(data_주일!B332="","",data_주일!B332)</f>
        <v>32</v>
      </c>
      <c r="G66" s="46" t="str">
        <f>IF(data_주일!AE332=1,$C66,"")</f>
        <v/>
      </c>
      <c r="H66" s="46" t="str">
        <f>IF(data_주일!AF332=1,$C66,"")</f>
        <v/>
      </c>
      <c r="I66" s="46" t="str">
        <f>IF(data_주일!AG332=1,$C66,"")</f>
        <v/>
      </c>
      <c r="J66" s="46" t="str">
        <f>IF(data_주일!AH332=1,$C66,"")</f>
        <v/>
      </c>
      <c r="K66" s="46" t="str">
        <f>IF(data_주일!AI332=1,$C66,"")</f>
        <v/>
      </c>
      <c r="L66" s="46" t="str">
        <f>IF(data_주일!AJ332=1,$C66,"")</f>
        <v/>
      </c>
      <c r="M66" s="46" t="str">
        <f>IF(data_주일!AK332=1,$C66,"")</f>
        <v/>
      </c>
      <c r="N66" s="46" t="str">
        <f>IF(data_주일!AL332=1,$C66,"")</f>
        <v/>
      </c>
      <c r="O66" s="46" t="str">
        <f>IF(data_주일!AM332=1,$C66,"")</f>
        <v/>
      </c>
      <c r="P66" s="46" t="str">
        <f>IF(data_주일!AN332=1,$C66,"")</f>
        <v/>
      </c>
      <c r="Q66" s="46" t="str">
        <f>IF(data_주일!AO332=1,$C66,"")</f>
        <v/>
      </c>
      <c r="R66" s="46" t="str">
        <f>IF(data_주일!AP332=1,$C66,"")</f>
        <v/>
      </c>
      <c r="S66" s="46" t="str">
        <f>IF(data_주일!AQ332=1,$C66,"")</f>
        <v/>
      </c>
      <c r="Y66" s="29"/>
    </row>
    <row r="67" spans="3:25" ht="12.95" customHeight="1" x14ac:dyDescent="0.3">
      <c r="C67" s="40" t="str">
        <f>IF(data_주일!C333="","",data_주일!C333)</f>
        <v>목서진</v>
      </c>
      <c r="D67" s="86" t="str">
        <f>IF(data_주일!D333="","",data_주일!D333)</f>
        <v>하진</v>
      </c>
      <c r="E67" s="87"/>
      <c r="F67" s="40">
        <f>IF(data_주일!B333="","",data_주일!B333)</f>
        <v>32</v>
      </c>
      <c r="G67" s="46" t="str">
        <f>IF(data_주일!AE333=1,$C67,"")</f>
        <v/>
      </c>
      <c r="H67" s="46" t="str">
        <f>IF(data_주일!AF333=1,$C67,"")</f>
        <v/>
      </c>
      <c r="I67" s="46" t="str">
        <f>IF(data_주일!AG333=1,$C67,"")</f>
        <v/>
      </c>
      <c r="J67" s="46" t="str">
        <f>IF(data_주일!AH333=1,$C67,"")</f>
        <v/>
      </c>
      <c r="K67" s="46" t="str">
        <f>IF(data_주일!AI333=1,$C67,"")</f>
        <v/>
      </c>
      <c r="L67" s="46" t="str">
        <f>IF(data_주일!AJ333=1,$C67,"")</f>
        <v/>
      </c>
      <c r="M67" s="46" t="str">
        <f>IF(data_주일!AK333=1,$C67,"")</f>
        <v/>
      </c>
      <c r="N67" s="46" t="str">
        <f>IF(data_주일!AL333=1,$C67,"")</f>
        <v/>
      </c>
      <c r="O67" s="46" t="str">
        <f>IF(data_주일!AM333=1,$C67,"")</f>
        <v>목서진</v>
      </c>
      <c r="P67" s="46" t="str">
        <f>IF(data_주일!AN333=1,$C67,"")</f>
        <v>목서진</v>
      </c>
      <c r="Q67" s="46" t="str">
        <f>IF(data_주일!AO333=1,$C67,"")</f>
        <v>목서진</v>
      </c>
      <c r="R67" s="46" t="str">
        <f>IF(data_주일!AP333=1,$C67,"")</f>
        <v>목서진</v>
      </c>
      <c r="S67" s="46" t="str">
        <f>IF(data_주일!AQ333=1,$C67,"")</f>
        <v/>
      </c>
      <c r="Y67" s="29"/>
    </row>
    <row r="68" spans="3:25" ht="12.95" customHeight="1" x14ac:dyDescent="0.3">
      <c r="C68" s="40" t="str">
        <f>IF(data_주일!C334="","",data_주일!C334)</f>
        <v>정화옥</v>
      </c>
      <c r="D68" s="86" t="str">
        <f>IF(data_주일!D334="","",data_주일!D334)</f>
        <v>손경희</v>
      </c>
      <c r="E68" s="87"/>
      <c r="F68" s="40">
        <f>IF(data_주일!B334="","",data_주일!B334)</f>
        <v>32</v>
      </c>
      <c r="G68" s="46" t="str">
        <f>IF(data_주일!AE334=1,$C68,"")</f>
        <v/>
      </c>
      <c r="H68" s="46" t="str">
        <f>IF(data_주일!AF334=1,$C68,"")</f>
        <v/>
      </c>
      <c r="I68" s="46" t="str">
        <f>IF(data_주일!AG334=1,$C68,"")</f>
        <v/>
      </c>
      <c r="J68" s="46" t="str">
        <f>IF(data_주일!AH334=1,$C68,"")</f>
        <v/>
      </c>
      <c r="K68" s="46" t="str">
        <f>IF(data_주일!AI334=1,$C68,"")</f>
        <v/>
      </c>
      <c r="L68" s="46" t="str">
        <f>IF(data_주일!AJ334=1,$C68,"")</f>
        <v/>
      </c>
      <c r="M68" s="46" t="str">
        <f>IF(data_주일!AK334=1,$C68,"")</f>
        <v/>
      </c>
      <c r="N68" s="46" t="str">
        <f>IF(data_주일!AL334=1,$C68,"")</f>
        <v/>
      </c>
      <c r="O68" s="46" t="str">
        <f>IF(data_주일!AM334=1,$C68,"")</f>
        <v/>
      </c>
      <c r="P68" s="46" t="str">
        <f>IF(data_주일!AN334=1,$C68,"")</f>
        <v/>
      </c>
      <c r="Q68" s="46" t="str">
        <f>IF(data_주일!AO334=1,$C68,"")</f>
        <v/>
      </c>
      <c r="R68" s="46" t="str">
        <f>IF(data_주일!AP334=1,$C68,"")</f>
        <v>정화옥</v>
      </c>
      <c r="S68" s="46" t="str">
        <f>IF(data_주일!AQ334=1,$C68,"")</f>
        <v/>
      </c>
      <c r="Y68" s="29"/>
    </row>
    <row r="69" spans="3:25" ht="12.95" customHeight="1" x14ac:dyDescent="0.3">
      <c r="C69" s="40" t="str">
        <f>IF(data_주일!C335="","",data_주일!C335)</f>
        <v>김예솔</v>
      </c>
      <c r="D69" s="86" t="str">
        <f>IF(data_주일!D335="","",data_주일!D335)</f>
        <v>백종애</v>
      </c>
      <c r="E69" s="87"/>
      <c r="F69" s="40">
        <f>IF(data_주일!B335="","",data_주일!B335)</f>
        <v>41</v>
      </c>
      <c r="G69" s="46" t="str">
        <f>IF(data_주일!AE335=1,$C69,"")</f>
        <v>김예솔</v>
      </c>
      <c r="H69" s="46" t="str">
        <f>IF(data_주일!AF335=1,$C69,"")</f>
        <v>김예솔</v>
      </c>
      <c r="I69" s="46" t="str">
        <f>IF(data_주일!AG335=1,$C69,"")</f>
        <v>김예솔</v>
      </c>
      <c r="J69" s="46" t="str">
        <f>IF(data_주일!AH335=1,$C69,"")</f>
        <v/>
      </c>
      <c r="K69" s="46" t="str">
        <f>IF(data_주일!AI335=1,$C69,"")</f>
        <v/>
      </c>
      <c r="L69" s="46" t="str">
        <f>IF(data_주일!AJ335=1,$C69,"")</f>
        <v/>
      </c>
      <c r="M69" s="46" t="str">
        <f>IF(data_주일!AK335=1,$C69,"")</f>
        <v>김예솔</v>
      </c>
      <c r="N69" s="46" t="str">
        <f>IF(data_주일!AL335=1,$C69,"")</f>
        <v/>
      </c>
      <c r="O69" s="46" t="str">
        <f>IF(data_주일!AM335=1,$C69,"")</f>
        <v>김예솔</v>
      </c>
      <c r="P69" s="46" t="str">
        <f>IF(data_주일!AN335=1,$C69,"")</f>
        <v>김예솔</v>
      </c>
      <c r="Q69" s="46" t="str">
        <f>IF(data_주일!AO335=1,$C69,"")</f>
        <v>김예솔</v>
      </c>
      <c r="R69" s="46" t="str">
        <f>IF(data_주일!AP335=1,$C69,"")</f>
        <v>김예솔</v>
      </c>
      <c r="S69" s="46" t="str">
        <f>IF(data_주일!AQ335=1,$C69,"")</f>
        <v/>
      </c>
      <c r="Y69" s="29"/>
    </row>
    <row r="70" spans="3:25" ht="12.95" customHeight="1" x14ac:dyDescent="0.3">
      <c r="C70" s="40" t="str">
        <f>IF(data_주일!C336="","",data_주일!C336)</f>
        <v>허수희</v>
      </c>
      <c r="D70" s="86" t="str">
        <f>IF(data_주일!D336="","",data_주일!D336)</f>
        <v>이지영</v>
      </c>
      <c r="E70" s="87"/>
      <c r="F70" s="40">
        <f>IF(data_주일!B336="","",data_주일!B336)</f>
        <v>41</v>
      </c>
      <c r="G70" s="46" t="str">
        <f>IF(data_주일!AE336=1,$C70,"")</f>
        <v/>
      </c>
      <c r="H70" s="46" t="str">
        <f>IF(data_주일!AF336=1,$C70,"")</f>
        <v/>
      </c>
      <c r="I70" s="46" t="str">
        <f>IF(data_주일!AG336=1,$C70,"")</f>
        <v/>
      </c>
      <c r="J70" s="46" t="str">
        <f>IF(data_주일!AH336=1,$C70,"")</f>
        <v>허수희</v>
      </c>
      <c r="K70" s="46" t="str">
        <f>IF(data_주일!AI336=1,$C70,"")</f>
        <v>허수희</v>
      </c>
      <c r="L70" s="46" t="str">
        <f>IF(data_주일!AJ336=1,$C70,"")</f>
        <v>허수희</v>
      </c>
      <c r="M70" s="46" t="str">
        <f>IF(data_주일!AK336=1,$C70,"")</f>
        <v>허수희</v>
      </c>
      <c r="N70" s="46" t="str">
        <f>IF(data_주일!AL336=1,$C70,"")</f>
        <v>허수희</v>
      </c>
      <c r="O70" s="46" t="str">
        <f>IF(data_주일!AM336=1,$C70,"")</f>
        <v>허수희</v>
      </c>
      <c r="P70" s="46" t="str">
        <f>IF(data_주일!AN336=1,$C70,"")</f>
        <v>허수희</v>
      </c>
      <c r="Q70" s="46" t="str">
        <f>IF(data_주일!AO336=1,$C70,"")</f>
        <v/>
      </c>
      <c r="R70" s="46" t="str">
        <f>IF(data_주일!AP336=1,$C70,"")</f>
        <v/>
      </c>
      <c r="S70" s="46" t="str">
        <f>IF(data_주일!AQ336=1,$C70,"")</f>
        <v/>
      </c>
      <c r="Y70" s="29"/>
    </row>
    <row r="71" spans="3:25" ht="12.95" customHeight="1" x14ac:dyDescent="0.3">
      <c r="C71" s="40" t="str">
        <f>IF(data_주일!C337="","",data_주일!C337)</f>
        <v>김성수</v>
      </c>
      <c r="D71" s="86" t="str">
        <f>IF(data_주일!D337="","",data_주일!D337)</f>
        <v>박성찬</v>
      </c>
      <c r="E71" s="87"/>
      <c r="F71" s="40">
        <f>IF(data_주일!B337="","",data_주일!B337)</f>
        <v>42</v>
      </c>
      <c r="G71" s="46" t="str">
        <f>IF(data_주일!AE337=1,$C71,"")</f>
        <v/>
      </c>
      <c r="H71" s="46" t="str">
        <f>IF(data_주일!AF337=1,$C71,"")</f>
        <v/>
      </c>
      <c r="I71" s="46" t="str">
        <f>IF(data_주일!AG337=1,$C71,"")</f>
        <v/>
      </c>
      <c r="J71" s="46" t="str">
        <f>IF(data_주일!AH337=1,$C71,"")</f>
        <v/>
      </c>
      <c r="K71" s="46" t="str">
        <f>IF(data_주일!AI337=1,$C71,"")</f>
        <v/>
      </c>
      <c r="L71" s="46" t="str">
        <f>IF(data_주일!AJ337=1,$C71,"")</f>
        <v/>
      </c>
      <c r="M71" s="46" t="str">
        <f>IF(data_주일!AK337=1,$C71,"")</f>
        <v/>
      </c>
      <c r="N71" s="46" t="str">
        <f>IF(data_주일!AL337=1,$C71,"")</f>
        <v>김성수</v>
      </c>
      <c r="O71" s="46" t="str">
        <f>IF(data_주일!AM337=1,$C71,"")</f>
        <v>김성수</v>
      </c>
      <c r="P71" s="46" t="str">
        <f>IF(data_주일!AN337=1,$C71,"")</f>
        <v>김성수</v>
      </c>
      <c r="Q71" s="46" t="str">
        <f>IF(data_주일!AO337=1,$C71,"")</f>
        <v>김성수</v>
      </c>
      <c r="R71" s="46" t="str">
        <f>IF(data_주일!AP337=1,$C71,"")</f>
        <v>김성수</v>
      </c>
      <c r="S71" s="46" t="str">
        <f>IF(data_주일!AQ337=1,$C71,"")</f>
        <v/>
      </c>
      <c r="Y71" s="29"/>
    </row>
    <row r="72" spans="3:25" ht="12.95" customHeight="1" x14ac:dyDescent="0.3">
      <c r="C72" s="40" t="str">
        <f>IF(data_주일!C338="","",data_주일!C338)</f>
        <v>이남경</v>
      </c>
      <c r="D72" s="86" t="str">
        <f>IF(data_주일!D338="","",data_주일!D338)</f>
        <v>김성수</v>
      </c>
      <c r="E72" s="87"/>
      <c r="F72" s="40">
        <f>IF(data_주일!B338="","",data_주일!B338)</f>
        <v>42</v>
      </c>
      <c r="G72" s="46" t="str">
        <f>IF(data_주일!AE338=1,$C72,"")</f>
        <v/>
      </c>
      <c r="H72" s="46" t="str">
        <f>IF(data_주일!AF338=1,$C72,"")</f>
        <v/>
      </c>
      <c r="I72" s="46" t="str">
        <f>IF(data_주일!AG338=1,$C72,"")</f>
        <v/>
      </c>
      <c r="J72" s="46" t="str">
        <f>IF(data_주일!AH338=1,$C72,"")</f>
        <v/>
      </c>
      <c r="K72" s="46" t="str">
        <f>IF(data_주일!AI338=1,$C72,"")</f>
        <v/>
      </c>
      <c r="L72" s="46" t="str">
        <f>IF(data_주일!AJ338=1,$C72,"")</f>
        <v/>
      </c>
      <c r="M72" s="46" t="str">
        <f>IF(data_주일!AK338=1,$C72,"")</f>
        <v/>
      </c>
      <c r="N72" s="46" t="str">
        <f>IF(data_주일!AL338=1,$C72,"")</f>
        <v/>
      </c>
      <c r="O72" s="46" t="str">
        <f>IF(data_주일!AM338=1,$C72,"")</f>
        <v/>
      </c>
      <c r="P72" s="46" t="str">
        <f>IF(data_주일!AN338=1,$C72,"")</f>
        <v/>
      </c>
      <c r="Q72" s="46" t="str">
        <f>IF(data_주일!AO338=1,$C72,"")</f>
        <v/>
      </c>
      <c r="R72" s="46" t="str">
        <f>IF(data_주일!AP338=1,$C72,"")</f>
        <v>이남경</v>
      </c>
      <c r="S72" s="46" t="str">
        <f>IF(data_주일!AQ338=1,$C72,"")</f>
        <v/>
      </c>
      <c r="Y72" s="29"/>
    </row>
    <row r="73" spans="3:25" ht="12.95" customHeight="1" x14ac:dyDescent="0.3">
      <c r="C73" s="40" t="str">
        <f>IF(data_주일!C339="","",data_주일!C339)</f>
        <v>김광홍</v>
      </c>
      <c r="D73" s="86" t="str">
        <f>IF(data_주일!D339="","",data_주일!D339)</f>
        <v>서영석</v>
      </c>
      <c r="E73" s="87"/>
      <c r="F73" s="40">
        <f>IF(data_주일!B339="","",data_주일!B339)</f>
        <v>43</v>
      </c>
      <c r="G73" s="46" t="str">
        <f>IF(data_주일!AE339=1,$C73,"")</f>
        <v/>
      </c>
      <c r="H73" s="46" t="str">
        <f>IF(data_주일!AF339=1,$C73,"")</f>
        <v/>
      </c>
      <c r="I73" s="46" t="str">
        <f>IF(data_주일!AG339=1,$C73,"")</f>
        <v/>
      </c>
      <c r="J73" s="46" t="str">
        <f>IF(data_주일!AH339=1,$C73,"")</f>
        <v/>
      </c>
      <c r="K73" s="46" t="str">
        <f>IF(data_주일!AI339=1,$C73,"")</f>
        <v/>
      </c>
      <c r="L73" s="46" t="str">
        <f>IF(data_주일!AJ339=1,$C73,"")</f>
        <v/>
      </c>
      <c r="M73" s="46" t="str">
        <f>IF(data_주일!AK339=1,$C73,"")</f>
        <v/>
      </c>
      <c r="N73" s="46" t="str">
        <f>IF(data_주일!AL339=1,$C73,"")</f>
        <v/>
      </c>
      <c r="O73" s="46" t="str">
        <f>IF(data_주일!AM339=1,$C73,"")</f>
        <v/>
      </c>
      <c r="P73" s="46" t="str">
        <f>IF(data_주일!AN339=1,$C73,"")</f>
        <v>김광홍</v>
      </c>
      <c r="Q73" s="46" t="str">
        <f>IF(data_주일!AO339=1,$C73,"")</f>
        <v>김광홍</v>
      </c>
      <c r="R73" s="46" t="str">
        <f>IF(data_주일!AP339=1,$C73,"")</f>
        <v>김광홍</v>
      </c>
      <c r="S73" s="46" t="str">
        <f>IF(data_주일!AQ339=1,$C73,"")</f>
        <v/>
      </c>
      <c r="Y73" s="29"/>
    </row>
    <row r="74" spans="3:25" ht="12.95" customHeight="1" x14ac:dyDescent="0.3">
      <c r="C74" s="40" t="str">
        <f>IF(data_주일!C340="","",data_주일!C340)</f>
        <v/>
      </c>
      <c r="D74" s="86" t="str">
        <f>IF(data_주일!D340="","",data_주일!D340)</f>
        <v/>
      </c>
      <c r="E74" s="87"/>
      <c r="F74" s="40"/>
      <c r="G74" s="46" t="str">
        <f>IF(data_주일!AE340=1,$C74,"")</f>
        <v/>
      </c>
      <c r="H74" s="46" t="str">
        <f>IF(data_주일!AF340=1,$C74,"")</f>
        <v/>
      </c>
      <c r="I74" s="46" t="str">
        <f>IF(data_주일!AG340=1,$C74,"")</f>
        <v/>
      </c>
      <c r="J74" s="46" t="str">
        <f>IF(data_주일!AH340=1,$C74,"")</f>
        <v/>
      </c>
      <c r="K74" s="46" t="str">
        <f>IF(data_주일!AI340=1,$C74,"")</f>
        <v/>
      </c>
      <c r="L74" s="46" t="str">
        <f>IF(data_주일!AJ340=1,$C74,"")</f>
        <v/>
      </c>
      <c r="M74" s="46" t="str">
        <f>IF(data_주일!AK340=1,$C74,"")</f>
        <v/>
      </c>
      <c r="N74" s="46" t="str">
        <f>IF(data_주일!AL340=1,$C74,"")</f>
        <v/>
      </c>
      <c r="O74" s="46" t="str">
        <f>IF(data_주일!AM340=1,$C74,"")</f>
        <v/>
      </c>
      <c r="P74" s="46" t="str">
        <f>IF(data_주일!AN340=1,$C74,"")</f>
        <v/>
      </c>
      <c r="Q74" s="46" t="str">
        <f>IF(data_주일!AO340=1,$C74,"")</f>
        <v/>
      </c>
      <c r="R74" s="46" t="str">
        <f>IF(data_주일!AP340=1,$C74,"")</f>
        <v/>
      </c>
      <c r="S74" s="46" t="str">
        <f>IF(data_주일!AQ340=1,$C74,"")</f>
        <v/>
      </c>
      <c r="Y74" s="29"/>
    </row>
    <row r="75" spans="3:25" ht="12.95" customHeight="1" x14ac:dyDescent="0.3">
      <c r="C75" s="40" t="str">
        <f>IF(data_주일!C341="","",data_주일!C341)</f>
        <v/>
      </c>
      <c r="D75" s="40"/>
      <c r="E75" s="85"/>
      <c r="F75" s="40"/>
      <c r="G75" s="46" t="str">
        <f>IF(data_주일!AE341=1,$C75,"")</f>
        <v/>
      </c>
      <c r="H75" s="46" t="str">
        <f>IF(data_주일!AF341=1,$C75,"")</f>
        <v/>
      </c>
      <c r="I75" s="46" t="str">
        <f>IF(data_주일!AG341=1,$C75,"")</f>
        <v/>
      </c>
      <c r="J75" s="46" t="str">
        <f>IF(data_주일!AH341=1,$C75,"")</f>
        <v/>
      </c>
      <c r="K75" s="46" t="str">
        <f>IF(data_주일!AI341=1,$C75,"")</f>
        <v/>
      </c>
      <c r="L75" s="46" t="str">
        <f>IF(data_주일!AJ341=1,$C75,"")</f>
        <v/>
      </c>
      <c r="M75" s="46" t="str">
        <f>IF(data_주일!AK341=1,$C75,"")</f>
        <v/>
      </c>
      <c r="N75" s="46" t="str">
        <f>IF(data_주일!AL341=1,$C75,"")</f>
        <v/>
      </c>
      <c r="O75" s="46" t="str">
        <f>IF(data_주일!AM341=1,$C75,"")</f>
        <v/>
      </c>
      <c r="P75" s="46" t="str">
        <f>IF(data_주일!AN341=1,$C75,"")</f>
        <v/>
      </c>
      <c r="Q75" s="46" t="str">
        <f>IF(data_주일!AO341=1,$C75,"")</f>
        <v/>
      </c>
      <c r="R75" s="46" t="str">
        <f>IF(data_주일!AP341=1,$C75,"")</f>
        <v/>
      </c>
      <c r="S75" s="46" t="str">
        <f>IF(data_주일!AQ341=1,$C75,"")</f>
        <v/>
      </c>
      <c r="Y75" s="29"/>
    </row>
    <row r="76" spans="3:25" ht="12.95" customHeight="1" x14ac:dyDescent="0.3">
      <c r="C76" s="40" t="str">
        <f>IF(data_주일!C342="","",data_주일!C342)</f>
        <v/>
      </c>
      <c r="D76" s="86" t="str">
        <f>IF(data_주일!D341="","",data_주일!D341)</f>
        <v/>
      </c>
      <c r="E76" s="87"/>
      <c r="F76" s="40" t="str">
        <f>IF(data_주일!B341="","",data_주일!B341)</f>
        <v/>
      </c>
      <c r="G76" s="46" t="str">
        <f>IF(data_주일!AE342=1,$C76,"")</f>
        <v/>
      </c>
      <c r="H76" s="46" t="str">
        <f>IF(data_주일!AF342=1,$C76,"")</f>
        <v/>
      </c>
      <c r="I76" s="46" t="str">
        <f>IF(data_주일!AG342=1,$C76,"")</f>
        <v/>
      </c>
      <c r="J76" s="46" t="str">
        <f>IF(data_주일!AH342=1,$C76,"")</f>
        <v/>
      </c>
      <c r="K76" s="46" t="str">
        <f>IF(data_주일!AI342=1,$C76,"")</f>
        <v/>
      </c>
      <c r="L76" s="46" t="str">
        <f>IF(data_주일!AJ342=1,$C76,"")</f>
        <v/>
      </c>
      <c r="M76" s="46" t="str">
        <f>IF(data_주일!AK342=1,$C76,"")</f>
        <v/>
      </c>
      <c r="N76" s="46" t="str">
        <f>IF(data_주일!AL342=1,$C76,"")</f>
        <v/>
      </c>
      <c r="O76" s="46" t="str">
        <f>IF(data_주일!AM342=1,$C76,"")</f>
        <v/>
      </c>
      <c r="P76" s="46" t="str">
        <f>IF(data_주일!AN342=1,$C76,"")</f>
        <v/>
      </c>
      <c r="Q76" s="46" t="str">
        <f>IF(data_주일!AO342=1,$C76,"")</f>
        <v/>
      </c>
      <c r="R76" s="46" t="str">
        <f>IF(data_주일!AP342=1,$C76,"")</f>
        <v/>
      </c>
      <c r="S76" s="46" t="str">
        <f>IF(data_주일!AQ342=1,$C76,"")</f>
        <v/>
      </c>
      <c r="Y76" s="29"/>
    </row>
    <row r="77" spans="3:25" ht="12.95" customHeight="1" x14ac:dyDescent="0.3">
      <c r="C77" s="40" t="str">
        <f>IF(data_주일!C342="","",data_주일!C342)</f>
        <v/>
      </c>
      <c r="D77" s="86" t="str">
        <f>IF(data_주일!D342="","",data_주일!D342)</f>
        <v/>
      </c>
      <c r="E77" s="87"/>
      <c r="F77" s="40" t="str">
        <f>IF(data_주일!B342="","",data_주일!B342)</f>
        <v/>
      </c>
      <c r="G77" s="46" t="str">
        <f>IF(data_주일!AE343=1,$C77,"")</f>
        <v/>
      </c>
      <c r="H77" s="46" t="str">
        <f>IF(data_주일!AF343=1,$C77,"")</f>
        <v/>
      </c>
      <c r="I77" s="46" t="str">
        <f>IF(data_주일!AG343=1,$C77,"")</f>
        <v/>
      </c>
      <c r="J77" s="46" t="str">
        <f>IF(data_주일!AH343=1,$C77,"")</f>
        <v/>
      </c>
      <c r="K77" s="46" t="str">
        <f>IF(data_주일!AI343=1,$C77,"")</f>
        <v/>
      </c>
      <c r="L77" s="46" t="str">
        <f>IF(data_주일!AJ343=1,$C77,"")</f>
        <v/>
      </c>
      <c r="M77" s="46" t="str">
        <f>IF(data_주일!AK343=1,$C77,"")</f>
        <v/>
      </c>
      <c r="N77" s="46" t="str">
        <f>IF(data_주일!AL343=1,$C77,"")</f>
        <v/>
      </c>
      <c r="O77" s="46" t="str">
        <f>IF(data_주일!AM343=1,$C77,"")</f>
        <v/>
      </c>
      <c r="P77" s="46" t="str">
        <f>IF(data_주일!AN343=1,$C77,"")</f>
        <v/>
      </c>
      <c r="Q77" s="46" t="str">
        <f>IF(data_주일!AO343=1,$C77,"")</f>
        <v/>
      </c>
      <c r="R77" s="46" t="str">
        <f>IF(data_주일!AP343=1,$C77,"")</f>
        <v/>
      </c>
      <c r="S77" s="46" t="str">
        <f>IF(data_주일!AQ343=1,$C77,"")</f>
        <v/>
      </c>
      <c r="Y77" s="29"/>
    </row>
    <row r="78" spans="3:25" ht="12.95" customHeight="1" x14ac:dyDescent="0.3">
      <c r="C78" s="110" t="s">
        <v>360</v>
      </c>
      <c r="D78" s="111"/>
      <c r="E78" s="111"/>
      <c r="F78" s="112"/>
      <c r="G78" s="56">
        <f t="shared" ref="G78:N78" si="11">COUNTA(G43:G77)-COUNTIF(G43:G77,"")</f>
        <v>5</v>
      </c>
      <c r="H78" s="56">
        <f t="shared" si="11"/>
        <v>5</v>
      </c>
      <c r="I78" s="56">
        <f t="shared" si="11"/>
        <v>3</v>
      </c>
      <c r="J78" s="56">
        <f t="shared" si="11"/>
        <v>6</v>
      </c>
      <c r="K78" s="56">
        <f t="shared" si="11"/>
        <v>5</v>
      </c>
      <c r="L78" s="56">
        <f t="shared" si="11"/>
        <v>8</v>
      </c>
      <c r="M78" s="56">
        <f t="shared" si="11"/>
        <v>7</v>
      </c>
      <c r="N78" s="56">
        <f t="shared" si="11"/>
        <v>9</v>
      </c>
      <c r="O78" s="56">
        <f>COUNTA(O43:O77)-COUNTIF(O43:O77,"")</f>
        <v>9</v>
      </c>
      <c r="P78" s="56">
        <f t="shared" ref="P78:S78" si="12">COUNTA(P43:P77)-COUNTIF(P43:P77,"")</f>
        <v>14</v>
      </c>
      <c r="Q78" s="56">
        <f t="shared" si="12"/>
        <v>14</v>
      </c>
      <c r="R78" s="56">
        <f t="shared" si="12"/>
        <v>18</v>
      </c>
      <c r="S78" s="56">
        <f t="shared" si="12"/>
        <v>0</v>
      </c>
      <c r="Y78" s="29"/>
    </row>
    <row r="79" spans="3:25" ht="22.9" customHeight="1" x14ac:dyDescent="0.3">
      <c r="C79" s="106" t="s">
        <v>386</v>
      </c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</row>
    <row r="80" spans="3:25" ht="4.9000000000000004" customHeight="1" x14ac:dyDescent="0.3"/>
  </sheetData>
  <mergeCells count="53">
    <mergeCell ref="D62:E62"/>
    <mergeCell ref="D50:E50"/>
    <mergeCell ref="D51:E51"/>
    <mergeCell ref="D52:E52"/>
    <mergeCell ref="D54:E54"/>
    <mergeCell ref="D55:E55"/>
    <mergeCell ref="D56:E56"/>
    <mergeCell ref="D53:E53"/>
    <mergeCell ref="D57:E57"/>
    <mergeCell ref="D58:E58"/>
    <mergeCell ref="D59:E59"/>
    <mergeCell ref="D60:E60"/>
    <mergeCell ref="D61:E61"/>
    <mergeCell ref="C79:X79"/>
    <mergeCell ref="D63:E63"/>
    <mergeCell ref="D64:E64"/>
    <mergeCell ref="D65:E65"/>
    <mergeCell ref="D66:E66"/>
    <mergeCell ref="D67:E67"/>
    <mergeCell ref="D68:E68"/>
    <mergeCell ref="D76:E76"/>
    <mergeCell ref="D77:E77"/>
    <mergeCell ref="C78:F78"/>
    <mergeCell ref="D69:E69"/>
    <mergeCell ref="D70:E70"/>
    <mergeCell ref="D71:E71"/>
    <mergeCell ref="D72:E72"/>
    <mergeCell ref="D73:E73"/>
    <mergeCell ref="D74:E74"/>
    <mergeCell ref="D42:E42"/>
    <mergeCell ref="D43:E43"/>
    <mergeCell ref="D44:E44"/>
    <mergeCell ref="D45:E45"/>
    <mergeCell ref="D46:E46"/>
    <mergeCell ref="C26:E27"/>
    <mergeCell ref="C28:F28"/>
    <mergeCell ref="C29:X29"/>
    <mergeCell ref="D48:E48"/>
    <mergeCell ref="D49:E49"/>
    <mergeCell ref="D24:E24"/>
    <mergeCell ref="C13:E13"/>
    <mergeCell ref="C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47:E47"/>
    <mergeCell ref="D25:E25"/>
  </mergeCells>
  <phoneticPr fontId="7" type="noConversion"/>
  <pageMargins left="0.70866141732283472" right="0.70866141732283472" top="0.74803149606299213" bottom="0.74803149606299213" header="0.31496062992125984" footer="0.31496062992125984"/>
  <pageSetup paperSize="9" scale="66" fitToHeight="0" orientation="landscape" r:id="rId1"/>
  <rowBreaks count="1" manualBreakCount="1">
    <brk id="30" max="2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BE340"/>
  <sheetViews>
    <sheetView zoomScale="90" zoomScaleNormal="90" zoomScaleSheetLayoutView="90" workbookViewId="0">
      <pane xSplit="4" ySplit="10" topLeftCell="AL314" activePane="bottomRight" state="frozen"/>
      <selection pane="topRight"/>
      <selection pane="bottomLeft"/>
      <selection pane="bottomRight" activeCell="D337" sqref="D337"/>
    </sheetView>
  </sheetViews>
  <sheetFormatPr defaultColWidth="9" defaultRowHeight="16.5" x14ac:dyDescent="0.3"/>
  <cols>
    <col min="1" max="1" width="11.75" style="2" bestFit="1" customWidth="1"/>
    <col min="2" max="3" width="11.75" style="2" customWidth="1"/>
    <col min="4" max="4" width="13.875" style="2" bestFit="1" customWidth="1"/>
    <col min="5" max="6" width="10.625" style="2" bestFit="1" customWidth="1"/>
    <col min="7" max="10" width="10.75" style="2" bestFit="1" customWidth="1"/>
    <col min="11" max="11" width="10" style="26" bestFit="1" customWidth="1"/>
    <col min="12" max="12" width="10" style="2" bestFit="1" customWidth="1"/>
    <col min="13" max="13" width="9.875" style="2" bestFit="1" customWidth="1"/>
    <col min="14" max="17" width="10" style="2" bestFit="1" customWidth="1"/>
    <col min="18" max="25" width="10.625" style="2" bestFit="1" customWidth="1"/>
    <col min="26" max="39" width="9.75" style="2" bestFit="1" customWidth="1"/>
    <col min="40" max="57" width="10.625" style="2" bestFit="1" customWidth="1"/>
    <col min="58" max="16384" width="9" style="2"/>
  </cols>
  <sheetData>
    <row r="1" spans="1:57" ht="16.5" hidden="1" customHeight="1" x14ac:dyDescent="0.3"/>
    <row r="2" spans="1:57" ht="16.5" hidden="1" customHeight="1" x14ac:dyDescent="0.3"/>
    <row r="3" spans="1:57" ht="16.5" hidden="1" customHeight="1" x14ac:dyDescent="0.3"/>
    <row r="4" spans="1:57" ht="16.5" hidden="1" customHeight="1" x14ac:dyDescent="0.3"/>
    <row r="5" spans="1:57" ht="16.5" hidden="1" customHeight="1" x14ac:dyDescent="0.3"/>
    <row r="6" spans="1:57" ht="16.5" hidden="1" customHeight="1" x14ac:dyDescent="0.3"/>
    <row r="7" spans="1:57" x14ac:dyDescent="0.3">
      <c r="A7" s="9"/>
      <c r="B7" s="9"/>
      <c r="C7" s="9"/>
      <c r="D7" s="9"/>
      <c r="E7" s="9">
        <f>DATEVALUE(E8)</f>
        <v>45998</v>
      </c>
      <c r="F7" s="9">
        <f t="shared" ref="F7:BE7" si="0">DATEVALUE(F8)</f>
        <v>46005</v>
      </c>
      <c r="G7" s="9">
        <f t="shared" si="0"/>
        <v>46012</v>
      </c>
      <c r="H7" s="9">
        <f t="shared" si="0"/>
        <v>46019</v>
      </c>
      <c r="I7" s="9">
        <f t="shared" si="0"/>
        <v>46026</v>
      </c>
      <c r="J7" s="9">
        <f t="shared" si="0"/>
        <v>46033</v>
      </c>
      <c r="K7" s="9">
        <f t="shared" si="0"/>
        <v>46040</v>
      </c>
      <c r="L7" s="9">
        <f t="shared" si="0"/>
        <v>46047</v>
      </c>
      <c r="M7" s="9">
        <f t="shared" si="0"/>
        <v>46054</v>
      </c>
      <c r="N7" s="9">
        <f t="shared" si="0"/>
        <v>46061</v>
      </c>
      <c r="O7" s="9">
        <f t="shared" si="0"/>
        <v>46068</v>
      </c>
      <c r="P7" s="9">
        <f t="shared" si="0"/>
        <v>46075</v>
      </c>
      <c r="Q7" s="9">
        <f t="shared" si="0"/>
        <v>46082</v>
      </c>
      <c r="R7" s="9">
        <f t="shared" si="0"/>
        <v>46089</v>
      </c>
      <c r="S7" s="9">
        <f t="shared" si="0"/>
        <v>46096</v>
      </c>
      <c r="T7" s="9">
        <f t="shared" si="0"/>
        <v>46103</v>
      </c>
      <c r="U7" s="9">
        <f t="shared" si="0"/>
        <v>46110</v>
      </c>
      <c r="V7" s="9">
        <f t="shared" si="0"/>
        <v>46117</v>
      </c>
      <c r="W7" s="9">
        <f t="shared" si="0"/>
        <v>46124</v>
      </c>
      <c r="X7" s="9">
        <f t="shared" si="0"/>
        <v>46131</v>
      </c>
      <c r="Y7" s="9">
        <f t="shared" si="0"/>
        <v>46138</v>
      </c>
      <c r="Z7" s="9">
        <f t="shared" si="0"/>
        <v>46145</v>
      </c>
      <c r="AA7" s="9">
        <f t="shared" si="0"/>
        <v>46152</v>
      </c>
      <c r="AB7" s="9">
        <f t="shared" si="0"/>
        <v>46159</v>
      </c>
      <c r="AC7" s="9">
        <f t="shared" si="0"/>
        <v>46166</v>
      </c>
      <c r="AD7" s="9">
        <f t="shared" si="0"/>
        <v>46173</v>
      </c>
      <c r="AE7" s="9">
        <f t="shared" si="0"/>
        <v>46180</v>
      </c>
      <c r="AF7" s="9">
        <f t="shared" si="0"/>
        <v>46187</v>
      </c>
      <c r="AG7" s="9">
        <f t="shared" si="0"/>
        <v>46194</v>
      </c>
      <c r="AH7" s="9">
        <f t="shared" si="0"/>
        <v>46201</v>
      </c>
      <c r="AI7" s="9">
        <f t="shared" si="0"/>
        <v>46208</v>
      </c>
      <c r="AJ7" s="9">
        <f t="shared" si="0"/>
        <v>46215</v>
      </c>
      <c r="AK7" s="9">
        <f t="shared" si="0"/>
        <v>46222</v>
      </c>
      <c r="AL7" s="9">
        <f t="shared" si="0"/>
        <v>46229</v>
      </c>
      <c r="AM7" s="9">
        <f t="shared" si="0"/>
        <v>46236</v>
      </c>
      <c r="AN7" s="9">
        <f t="shared" si="0"/>
        <v>46243</v>
      </c>
      <c r="AO7" s="9">
        <f t="shared" si="0"/>
        <v>46250</v>
      </c>
      <c r="AP7" s="9">
        <f t="shared" si="0"/>
        <v>46257</v>
      </c>
      <c r="AQ7" s="9">
        <f t="shared" si="0"/>
        <v>46264</v>
      </c>
      <c r="AR7" s="9">
        <f t="shared" si="0"/>
        <v>46271</v>
      </c>
      <c r="AS7" s="9">
        <f t="shared" si="0"/>
        <v>46278</v>
      </c>
      <c r="AT7" s="9">
        <f t="shared" si="0"/>
        <v>46285</v>
      </c>
      <c r="AU7" s="9">
        <f t="shared" si="0"/>
        <v>46292</v>
      </c>
      <c r="AV7" s="9">
        <f t="shared" si="0"/>
        <v>46299</v>
      </c>
      <c r="AW7" s="9">
        <f t="shared" si="0"/>
        <v>46306</v>
      </c>
      <c r="AX7" s="9">
        <f t="shared" si="0"/>
        <v>46313</v>
      </c>
      <c r="AY7" s="9">
        <f t="shared" si="0"/>
        <v>46320</v>
      </c>
      <c r="AZ7" s="9">
        <f t="shared" si="0"/>
        <v>46327</v>
      </c>
      <c r="BA7" s="9">
        <f t="shared" si="0"/>
        <v>46334</v>
      </c>
      <c r="BB7" s="9">
        <f t="shared" si="0"/>
        <v>46341</v>
      </c>
      <c r="BC7" s="9">
        <f t="shared" si="0"/>
        <v>46348</v>
      </c>
      <c r="BD7" s="9">
        <f t="shared" si="0"/>
        <v>46355</v>
      </c>
      <c r="BE7" s="9">
        <f t="shared" si="0"/>
        <v>46362</v>
      </c>
    </row>
    <row r="8" spans="1:57" x14ac:dyDescent="0.3">
      <c r="A8" s="9"/>
      <c r="B8" s="9"/>
      <c r="C8" s="9"/>
      <c r="D8" s="9"/>
      <c r="E8" s="9" t="str">
        <f>TEXT(E10,"YY/MM/DD")</f>
        <v>25/12/07</v>
      </c>
      <c r="F8" s="9" t="str">
        <f t="shared" ref="F8:P8" si="1">TEXT(F10,"YY/MM/DD")</f>
        <v>25/12/14</v>
      </c>
      <c r="G8" s="9" t="str">
        <f t="shared" si="1"/>
        <v>25/12/21</v>
      </c>
      <c r="H8" s="9" t="str">
        <f t="shared" si="1"/>
        <v>25/12/28</v>
      </c>
      <c r="I8" s="9" t="str">
        <f t="shared" si="1"/>
        <v>26/01/04</v>
      </c>
      <c r="J8" s="9" t="str">
        <f t="shared" si="1"/>
        <v>26/01/11</v>
      </c>
      <c r="K8" s="9" t="str">
        <f t="shared" si="1"/>
        <v>26/01/18</v>
      </c>
      <c r="L8" s="9" t="str">
        <f t="shared" si="1"/>
        <v>26/01/25</v>
      </c>
      <c r="M8" s="9" t="str">
        <f t="shared" si="1"/>
        <v>26/02/01</v>
      </c>
      <c r="N8" s="9" t="str">
        <f t="shared" si="1"/>
        <v>26/02/08</v>
      </c>
      <c r="O8" s="9" t="str">
        <f t="shared" si="1"/>
        <v>26/02/15</v>
      </c>
      <c r="P8" s="9" t="str">
        <f t="shared" si="1"/>
        <v>26/02/22</v>
      </c>
      <c r="Q8" s="9" t="str">
        <f>TEXT(Q10,"YY/MM/DD")</f>
        <v>26/03/01</v>
      </c>
      <c r="R8" s="9" t="str">
        <f t="shared" ref="R8:AM8" si="2">TEXT(R10,"YY/MM/DD")</f>
        <v>26/03/08</v>
      </c>
      <c r="S8" s="9" t="str">
        <f t="shared" si="2"/>
        <v>26/03/15</v>
      </c>
      <c r="T8" s="9" t="str">
        <f t="shared" si="2"/>
        <v>26/03/22</v>
      </c>
      <c r="U8" s="9" t="str">
        <f t="shared" si="2"/>
        <v>26/03/29</v>
      </c>
      <c r="V8" s="9" t="str">
        <f t="shared" si="2"/>
        <v>26/04/05</v>
      </c>
      <c r="W8" s="9" t="str">
        <f t="shared" si="2"/>
        <v>26/04/12</v>
      </c>
      <c r="X8" s="9" t="str">
        <f t="shared" si="2"/>
        <v>26/04/19</v>
      </c>
      <c r="Y8" s="9" t="str">
        <f t="shared" si="2"/>
        <v>26/04/26</v>
      </c>
      <c r="Z8" s="9" t="str">
        <f t="shared" si="2"/>
        <v>26/05/03</v>
      </c>
      <c r="AA8" s="9" t="str">
        <f t="shared" si="2"/>
        <v>26/05/10</v>
      </c>
      <c r="AB8" s="9" t="str">
        <f t="shared" si="2"/>
        <v>26/05/17</v>
      </c>
      <c r="AC8" s="9" t="str">
        <f t="shared" si="2"/>
        <v>26/05/24</v>
      </c>
      <c r="AD8" s="9" t="str">
        <f t="shared" si="2"/>
        <v>26/05/31</v>
      </c>
      <c r="AE8" s="9" t="str">
        <f t="shared" si="2"/>
        <v>26/06/07</v>
      </c>
      <c r="AF8" s="9" t="str">
        <f t="shared" si="2"/>
        <v>26/06/14</v>
      </c>
      <c r="AG8" s="9" t="str">
        <f t="shared" si="2"/>
        <v>26/06/21</v>
      </c>
      <c r="AH8" s="9" t="str">
        <f t="shared" si="2"/>
        <v>26/06/28</v>
      </c>
      <c r="AI8" s="9" t="str">
        <f t="shared" si="2"/>
        <v>26/07/05</v>
      </c>
      <c r="AJ8" s="9" t="str">
        <f t="shared" si="2"/>
        <v>26/07/12</v>
      </c>
      <c r="AK8" s="9" t="str">
        <f t="shared" si="2"/>
        <v>26/07/19</v>
      </c>
      <c r="AL8" s="9" t="str">
        <f t="shared" si="2"/>
        <v>26/07/26</v>
      </c>
      <c r="AM8" s="9" t="str">
        <f t="shared" si="2"/>
        <v>26/08/02</v>
      </c>
      <c r="AN8" s="9" t="str">
        <f t="shared" ref="AN8:BC8" si="3">TEXT(AN10,"YY/MM/DD")</f>
        <v>26/08/09</v>
      </c>
      <c r="AO8" s="9" t="str">
        <f t="shared" si="3"/>
        <v>26/08/16</v>
      </c>
      <c r="AP8" s="9" t="str">
        <f t="shared" si="3"/>
        <v>26/08/23</v>
      </c>
      <c r="AQ8" s="9" t="str">
        <f t="shared" si="3"/>
        <v>26/08/30</v>
      </c>
      <c r="AR8" s="9" t="str">
        <f t="shared" si="3"/>
        <v>26/09/06</v>
      </c>
      <c r="AS8" s="9" t="str">
        <f t="shared" si="3"/>
        <v>26/09/13</v>
      </c>
      <c r="AT8" s="9" t="str">
        <f t="shared" si="3"/>
        <v>26/09/20</v>
      </c>
      <c r="AU8" s="9" t="str">
        <f t="shared" si="3"/>
        <v>26/09/27</v>
      </c>
      <c r="AV8" s="9" t="str">
        <f t="shared" si="3"/>
        <v>26/10/04</v>
      </c>
      <c r="AW8" s="9" t="str">
        <f t="shared" si="3"/>
        <v>26/10/11</v>
      </c>
      <c r="AX8" s="9" t="str">
        <f t="shared" si="3"/>
        <v>26/10/18</v>
      </c>
      <c r="AY8" s="9" t="str">
        <f t="shared" si="3"/>
        <v>26/10/25</v>
      </c>
      <c r="AZ8" s="9" t="str">
        <f t="shared" si="3"/>
        <v>26/11/01</v>
      </c>
      <c r="BA8" s="9" t="str">
        <f t="shared" si="3"/>
        <v>26/11/08</v>
      </c>
      <c r="BB8" s="9" t="str">
        <f t="shared" si="3"/>
        <v>26/11/15</v>
      </c>
      <c r="BC8" s="9" t="str">
        <f t="shared" si="3"/>
        <v>26/11/22</v>
      </c>
      <c r="BD8" s="9" t="str">
        <f>TEXT(BD10,"YY/MM/DD")</f>
        <v>26/11/29</v>
      </c>
      <c r="BE8" s="9" t="str">
        <f>TEXT(BE10,"YY/MM/DD")</f>
        <v>26/12/06</v>
      </c>
    </row>
    <row r="9" spans="1:57" x14ac:dyDescent="0.3">
      <c r="A9" s="132" t="s">
        <v>8</v>
      </c>
      <c r="B9" s="132"/>
      <c r="C9" s="132"/>
      <c r="D9" s="132"/>
      <c r="E9" s="13">
        <f>COUNTA(E11:E296)</f>
        <v>204</v>
      </c>
      <c r="F9" s="13">
        <f>COUNTA(F11:F303)</f>
        <v>214</v>
      </c>
      <c r="G9" s="13">
        <f>COUNTA(G11:G296)</f>
        <v>0</v>
      </c>
      <c r="H9" s="13">
        <f>COUNTA(H11:H296)</f>
        <v>0</v>
      </c>
      <c r="I9" s="13">
        <f>COUNTA(I11:I296)</f>
        <v>207</v>
      </c>
      <c r="J9" s="13">
        <f>COUNTA(J11:J296)</f>
        <v>213</v>
      </c>
      <c r="K9" s="13">
        <f t="shared" ref="K9:BD9" si="4">COUNTA(K11:K303)</f>
        <v>217</v>
      </c>
      <c r="L9" s="13">
        <f t="shared" si="4"/>
        <v>229</v>
      </c>
      <c r="M9" s="13">
        <f t="shared" si="4"/>
        <v>214</v>
      </c>
      <c r="N9" s="13">
        <f t="shared" si="4"/>
        <v>216</v>
      </c>
      <c r="O9" s="13">
        <f t="shared" si="4"/>
        <v>0</v>
      </c>
      <c r="P9" s="13">
        <f t="shared" si="4"/>
        <v>209</v>
      </c>
      <c r="Q9" s="13">
        <f t="shared" si="4"/>
        <v>218</v>
      </c>
      <c r="R9" s="13">
        <f t="shared" si="4"/>
        <v>211</v>
      </c>
      <c r="S9" s="13">
        <f t="shared" si="4"/>
        <v>218</v>
      </c>
      <c r="T9" s="13">
        <f t="shared" si="4"/>
        <v>221</v>
      </c>
      <c r="U9" s="13">
        <f t="shared" si="4"/>
        <v>213</v>
      </c>
      <c r="V9" s="13">
        <f t="shared" si="4"/>
        <v>197</v>
      </c>
      <c r="W9" s="13">
        <f t="shared" si="4"/>
        <v>193</v>
      </c>
      <c r="X9" s="13">
        <f t="shared" si="4"/>
        <v>216</v>
      </c>
      <c r="Y9" s="13">
        <f t="shared" si="4"/>
        <v>212</v>
      </c>
      <c r="Z9" s="13">
        <f t="shared" si="4"/>
        <v>201</v>
      </c>
      <c r="AA9" s="13">
        <f t="shared" si="4"/>
        <v>198</v>
      </c>
      <c r="AB9" s="13">
        <f t="shared" si="4"/>
        <v>212</v>
      </c>
      <c r="AC9" s="13">
        <f t="shared" si="4"/>
        <v>210</v>
      </c>
      <c r="AD9" s="13">
        <f t="shared" si="4"/>
        <v>206</v>
      </c>
      <c r="AE9" s="13">
        <f t="shared" si="4"/>
        <v>215</v>
      </c>
      <c r="AF9" s="13">
        <f t="shared" si="4"/>
        <v>206</v>
      </c>
      <c r="AG9" s="13">
        <f t="shared" si="4"/>
        <v>202</v>
      </c>
      <c r="AH9" s="13">
        <f t="shared" si="4"/>
        <v>206</v>
      </c>
      <c r="AI9" s="13">
        <f t="shared" si="4"/>
        <v>214</v>
      </c>
      <c r="AJ9" s="13">
        <f t="shared" si="4"/>
        <v>213</v>
      </c>
      <c r="AK9" s="13">
        <f t="shared" si="4"/>
        <v>225</v>
      </c>
      <c r="AL9" s="13">
        <f t="shared" si="4"/>
        <v>0</v>
      </c>
      <c r="AM9" s="13">
        <f t="shared" si="4"/>
        <v>215</v>
      </c>
      <c r="AN9" s="13">
        <f t="shared" si="4"/>
        <v>214</v>
      </c>
      <c r="AO9" s="13">
        <f t="shared" si="4"/>
        <v>196</v>
      </c>
      <c r="AP9" s="13">
        <f t="shared" si="4"/>
        <v>211</v>
      </c>
      <c r="AQ9" s="13">
        <f t="shared" si="4"/>
        <v>0</v>
      </c>
      <c r="AR9" s="13">
        <f t="shared" si="4"/>
        <v>0</v>
      </c>
      <c r="AS9" s="13">
        <f t="shared" si="4"/>
        <v>0</v>
      </c>
      <c r="AT9" s="13">
        <f t="shared" si="4"/>
        <v>0</v>
      </c>
      <c r="AU9" s="13">
        <f t="shared" si="4"/>
        <v>0</v>
      </c>
      <c r="AV9" s="13">
        <f t="shared" si="4"/>
        <v>0</v>
      </c>
      <c r="AW9" s="13">
        <f t="shared" si="4"/>
        <v>0</v>
      </c>
      <c r="AX9" s="13">
        <f t="shared" si="4"/>
        <v>0</v>
      </c>
      <c r="AY9" s="13">
        <f t="shared" si="4"/>
        <v>0</v>
      </c>
      <c r="AZ9" s="13">
        <f t="shared" si="4"/>
        <v>0</v>
      </c>
      <c r="BA9" s="13">
        <f t="shared" si="4"/>
        <v>0</v>
      </c>
      <c r="BB9" s="13">
        <f t="shared" si="4"/>
        <v>0</v>
      </c>
      <c r="BC9" s="13">
        <f t="shared" si="4"/>
        <v>0</v>
      </c>
      <c r="BD9" s="13">
        <f t="shared" si="4"/>
        <v>0</v>
      </c>
      <c r="BE9" s="13">
        <f t="shared" ref="BE9" si="5">COUNTA(BE11:BE303)</f>
        <v>0</v>
      </c>
    </row>
    <row r="10" spans="1:57" x14ac:dyDescent="0.3">
      <c r="A10" s="8" t="s">
        <v>336</v>
      </c>
      <c r="B10" s="61" t="s">
        <v>201</v>
      </c>
      <c r="C10" s="63"/>
      <c r="D10" s="8" t="s">
        <v>212</v>
      </c>
      <c r="E10" s="6">
        <v>45998</v>
      </c>
      <c r="F10" s="6">
        <v>46005</v>
      </c>
      <c r="G10" s="6">
        <v>46012</v>
      </c>
      <c r="H10" s="6">
        <v>46019</v>
      </c>
      <c r="I10" s="6">
        <v>46026</v>
      </c>
      <c r="J10" s="6">
        <v>46033</v>
      </c>
      <c r="K10" s="6">
        <v>46040</v>
      </c>
      <c r="L10" s="6">
        <v>46047</v>
      </c>
      <c r="M10" s="6">
        <v>46054</v>
      </c>
      <c r="N10" s="6">
        <v>46061</v>
      </c>
      <c r="O10" s="6">
        <v>46068</v>
      </c>
      <c r="P10" s="6">
        <v>46075</v>
      </c>
      <c r="Q10" s="6">
        <v>46082</v>
      </c>
      <c r="R10" s="6">
        <v>46089</v>
      </c>
      <c r="S10" s="6">
        <v>46096</v>
      </c>
      <c r="T10" s="6">
        <v>46103</v>
      </c>
      <c r="U10" s="6">
        <v>46110</v>
      </c>
      <c r="V10" s="6">
        <v>46117</v>
      </c>
      <c r="W10" s="6">
        <v>46124</v>
      </c>
      <c r="X10" s="6">
        <v>46131</v>
      </c>
      <c r="Y10" s="6">
        <v>46138</v>
      </c>
      <c r="Z10" s="6">
        <v>46145</v>
      </c>
      <c r="AA10" s="6">
        <v>46152</v>
      </c>
      <c r="AB10" s="6">
        <v>46159</v>
      </c>
      <c r="AC10" s="6">
        <v>46166</v>
      </c>
      <c r="AD10" s="6">
        <v>46173</v>
      </c>
      <c r="AE10" s="6">
        <v>46180</v>
      </c>
      <c r="AF10" s="6">
        <v>46187</v>
      </c>
      <c r="AG10" s="6">
        <v>46194</v>
      </c>
      <c r="AH10" s="6">
        <v>46201</v>
      </c>
      <c r="AI10" s="6">
        <v>46208</v>
      </c>
      <c r="AJ10" s="6">
        <v>46215</v>
      </c>
      <c r="AK10" s="6">
        <v>46222</v>
      </c>
      <c r="AL10" s="6">
        <v>46229</v>
      </c>
      <c r="AM10" s="6">
        <v>46236</v>
      </c>
      <c r="AN10" s="6">
        <v>46243</v>
      </c>
      <c r="AO10" s="6">
        <v>46250</v>
      </c>
      <c r="AP10" s="6">
        <v>46257</v>
      </c>
      <c r="AQ10" s="6">
        <v>46264</v>
      </c>
      <c r="AR10" s="6">
        <v>46271</v>
      </c>
      <c r="AS10" s="6">
        <v>46278</v>
      </c>
      <c r="AT10" s="6">
        <v>46285</v>
      </c>
      <c r="AU10" s="6">
        <v>46292</v>
      </c>
      <c r="AV10" s="6">
        <v>46299</v>
      </c>
      <c r="AW10" s="6">
        <v>46306</v>
      </c>
      <c r="AX10" s="6">
        <v>46313</v>
      </c>
      <c r="AY10" s="6">
        <v>46320</v>
      </c>
      <c r="AZ10" s="6">
        <v>46327</v>
      </c>
      <c r="BA10" s="6">
        <v>46334</v>
      </c>
      <c r="BB10" s="6">
        <v>46341</v>
      </c>
      <c r="BC10" s="6">
        <v>46348</v>
      </c>
      <c r="BD10" s="6">
        <v>46355</v>
      </c>
      <c r="BE10" s="6">
        <v>46362</v>
      </c>
    </row>
    <row r="11" spans="1:57" x14ac:dyDescent="0.3">
      <c r="A11" s="30" t="s">
        <v>338</v>
      </c>
      <c r="B11" s="59">
        <v>11</v>
      </c>
      <c r="C11" s="60"/>
      <c r="D11" s="3" t="s">
        <v>72</v>
      </c>
      <c r="E11" s="3">
        <v>1</v>
      </c>
      <c r="F11" s="3">
        <v>1</v>
      </c>
      <c r="G11" s="3"/>
      <c r="H11" s="3"/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/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/>
      <c r="AC11" s="3">
        <v>1</v>
      </c>
      <c r="AD11" s="3">
        <v>1</v>
      </c>
      <c r="AE11" s="3">
        <v>1</v>
      </c>
      <c r="AF11" s="3"/>
      <c r="AG11" s="3">
        <v>1</v>
      </c>
      <c r="AH11" s="3">
        <v>1</v>
      </c>
      <c r="AI11" s="3">
        <v>1</v>
      </c>
      <c r="AJ11" s="3">
        <v>1</v>
      </c>
      <c r="AK11" s="3">
        <v>1</v>
      </c>
      <c r="AL11" s="3"/>
      <c r="AM11" s="3">
        <v>1</v>
      </c>
      <c r="AN11" s="3">
        <v>1</v>
      </c>
      <c r="AO11" s="3">
        <v>1</v>
      </c>
      <c r="AP11" s="3">
        <v>1</v>
      </c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 x14ac:dyDescent="0.3">
      <c r="A12" s="5" t="s">
        <v>337</v>
      </c>
      <c r="B12" s="59">
        <v>11</v>
      </c>
      <c r="C12" s="60"/>
      <c r="D12" s="3" t="s">
        <v>186</v>
      </c>
      <c r="E12" s="3"/>
      <c r="F12" s="3">
        <v>1</v>
      </c>
      <c r="G12" s="3"/>
      <c r="H12" s="3"/>
      <c r="I12" s="3">
        <v>1</v>
      </c>
      <c r="J12" s="3"/>
      <c r="K12" s="3">
        <v>1</v>
      </c>
      <c r="L12" s="3">
        <v>1</v>
      </c>
      <c r="M12" s="3"/>
      <c r="N12" s="3">
        <v>1</v>
      </c>
      <c r="O12" s="3"/>
      <c r="P12" s="3">
        <v>1</v>
      </c>
      <c r="Q12" s="3">
        <v>1</v>
      </c>
      <c r="R12" s="3"/>
      <c r="S12" s="3">
        <v>1</v>
      </c>
      <c r="T12" s="3">
        <v>1</v>
      </c>
      <c r="U12" s="3"/>
      <c r="V12" s="3"/>
      <c r="W12" s="3"/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/>
      <c r="AE12" s="3">
        <v>1</v>
      </c>
      <c r="AF12" s="3">
        <v>1</v>
      </c>
      <c r="AG12" s="3">
        <v>1</v>
      </c>
      <c r="AH12" s="3"/>
      <c r="AI12" s="3">
        <v>1</v>
      </c>
      <c r="AJ12" s="3">
        <v>1</v>
      </c>
      <c r="AK12" s="3"/>
      <c r="AL12" s="3"/>
      <c r="AM12" s="3">
        <v>1</v>
      </c>
      <c r="AN12" s="3"/>
      <c r="AO12" s="3">
        <v>1</v>
      </c>
      <c r="AP12" s="3">
        <v>1</v>
      </c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 x14ac:dyDescent="0.3">
      <c r="A13" s="5" t="s">
        <v>337</v>
      </c>
      <c r="B13" s="59">
        <v>11</v>
      </c>
      <c r="C13" s="60"/>
      <c r="D13" s="3" t="s">
        <v>268</v>
      </c>
      <c r="E13" s="3">
        <v>1</v>
      </c>
      <c r="F13" s="3">
        <v>1</v>
      </c>
      <c r="G13" s="3"/>
      <c r="H13" s="3"/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/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/>
      <c r="AH13" s="3">
        <v>1</v>
      </c>
      <c r="AI13" s="3">
        <v>1</v>
      </c>
      <c r="AJ13" s="3">
        <v>1</v>
      </c>
      <c r="AK13" s="3">
        <v>1</v>
      </c>
      <c r="AL13" s="3"/>
      <c r="AM13" s="3">
        <v>1</v>
      </c>
      <c r="AN13" s="3">
        <v>1</v>
      </c>
      <c r="AO13" s="3">
        <v>1</v>
      </c>
      <c r="AP13" s="3">
        <v>1</v>
      </c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 x14ac:dyDescent="0.3">
      <c r="A14" s="5" t="s">
        <v>337</v>
      </c>
      <c r="B14" s="59">
        <v>11</v>
      </c>
      <c r="C14" s="60"/>
      <c r="D14" s="3" t="s">
        <v>299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 x14ac:dyDescent="0.3">
      <c r="A15" s="5" t="s">
        <v>337</v>
      </c>
      <c r="B15" s="59">
        <v>11</v>
      </c>
      <c r="C15" s="60"/>
      <c r="D15" s="3" t="s">
        <v>244</v>
      </c>
      <c r="E15" s="3"/>
      <c r="F15" s="3">
        <v>1</v>
      </c>
      <c r="G15" s="3"/>
      <c r="H15" s="3"/>
      <c r="I15" s="3">
        <v>1</v>
      </c>
      <c r="J15" s="3">
        <v>1</v>
      </c>
      <c r="K15" s="3">
        <v>1</v>
      </c>
      <c r="L15" s="3"/>
      <c r="M15" s="3">
        <v>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6" spans="1:57" x14ac:dyDescent="0.3">
      <c r="A16" s="5" t="s">
        <v>337</v>
      </c>
      <c r="B16" s="59">
        <v>11</v>
      </c>
      <c r="C16" s="60"/>
      <c r="D16" s="3" t="s">
        <v>260</v>
      </c>
      <c r="E16" s="3">
        <v>1</v>
      </c>
      <c r="F16" s="3"/>
      <c r="G16" s="3"/>
      <c r="H16" s="3"/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/>
      <c r="P16" s="3"/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/>
      <c r="AC16" s="3">
        <v>1</v>
      </c>
      <c r="AD16" s="3">
        <v>1</v>
      </c>
      <c r="AE16" s="3"/>
      <c r="AF16" s="3">
        <v>1</v>
      </c>
      <c r="AG16" s="3">
        <v>1</v>
      </c>
      <c r="AH16" s="3">
        <v>1</v>
      </c>
      <c r="AI16" s="3">
        <v>1</v>
      </c>
      <c r="AJ16" s="3"/>
      <c r="AK16" s="3">
        <v>1</v>
      </c>
      <c r="AL16" s="3"/>
      <c r="AM16" s="3">
        <v>1</v>
      </c>
      <c r="AN16" s="3">
        <v>1</v>
      </c>
      <c r="AO16" s="3">
        <v>1</v>
      </c>
      <c r="AP16" s="3">
        <v>1</v>
      </c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1:57" x14ac:dyDescent="0.3">
      <c r="A17" s="5" t="s">
        <v>337</v>
      </c>
      <c r="B17" s="59">
        <v>11</v>
      </c>
      <c r="C17" s="60"/>
      <c r="D17" s="3" t="s">
        <v>282</v>
      </c>
      <c r="E17" s="3">
        <v>1</v>
      </c>
      <c r="F17" s="3">
        <v>1</v>
      </c>
      <c r="G17" s="3"/>
      <c r="H17" s="3"/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/>
      <c r="P17" s="3">
        <v>1</v>
      </c>
      <c r="Q17" s="3"/>
      <c r="R17" s="3"/>
      <c r="S17" s="3">
        <v>1</v>
      </c>
      <c r="T17" s="3"/>
      <c r="U17" s="3">
        <v>1</v>
      </c>
      <c r="V17" s="3">
        <v>1</v>
      </c>
      <c r="W17" s="3"/>
      <c r="X17" s="3">
        <v>1</v>
      </c>
      <c r="Y17" s="3">
        <v>1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 x14ac:dyDescent="0.3">
      <c r="A18" s="5" t="s">
        <v>337</v>
      </c>
      <c r="B18" s="59">
        <v>11</v>
      </c>
      <c r="C18" s="60"/>
      <c r="D18" s="3" t="s">
        <v>38</v>
      </c>
      <c r="E18" s="3">
        <v>1</v>
      </c>
      <c r="F18" s="3">
        <v>1</v>
      </c>
      <c r="G18" s="3"/>
      <c r="H18" s="3"/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/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/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  <c r="AH18" s="3"/>
      <c r="AI18" s="3">
        <v>1</v>
      </c>
      <c r="AJ18" s="3">
        <v>1</v>
      </c>
      <c r="AK18" s="3">
        <v>1</v>
      </c>
      <c r="AL18" s="3"/>
      <c r="AM18" s="3">
        <v>1</v>
      </c>
      <c r="AN18" s="3">
        <v>1</v>
      </c>
      <c r="AO18" s="3">
        <v>1</v>
      </c>
      <c r="AP18" s="3">
        <v>1</v>
      </c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 x14ac:dyDescent="0.3">
      <c r="A19" s="5" t="s">
        <v>337</v>
      </c>
      <c r="B19" s="59">
        <v>11</v>
      </c>
      <c r="C19" s="60"/>
      <c r="D19" s="3" t="s">
        <v>300</v>
      </c>
      <c r="E19" s="3"/>
      <c r="F19" s="3">
        <v>1</v>
      </c>
      <c r="G19" s="3"/>
      <c r="H19" s="3"/>
      <c r="I19" s="3"/>
      <c r="J19" s="3">
        <v>1</v>
      </c>
      <c r="K19" s="3">
        <v>1</v>
      </c>
      <c r="L19" s="3">
        <v>1</v>
      </c>
      <c r="M19" s="3"/>
      <c r="N19" s="3">
        <v>1</v>
      </c>
      <c r="O19" s="3"/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/>
      <c r="V19" s="3">
        <v>1</v>
      </c>
      <c r="W19" s="3"/>
      <c r="X19" s="3">
        <v>1</v>
      </c>
      <c r="Y19" s="3">
        <v>1</v>
      </c>
      <c r="Z19" s="3">
        <v>1</v>
      </c>
      <c r="AA19" s="3"/>
      <c r="AB19" s="3">
        <v>1</v>
      </c>
      <c r="AC19" s="3">
        <v>1</v>
      </c>
      <c r="AD19" s="3"/>
      <c r="AE19" s="3">
        <v>1</v>
      </c>
      <c r="AF19" s="3">
        <v>1</v>
      </c>
      <c r="AG19" s="3">
        <v>1</v>
      </c>
      <c r="AH19" s="3">
        <v>1</v>
      </c>
      <c r="AI19" s="3"/>
      <c r="AJ19" s="3">
        <v>1</v>
      </c>
      <c r="AK19" s="3">
        <v>1</v>
      </c>
      <c r="AL19" s="3"/>
      <c r="AM19" s="3">
        <v>1</v>
      </c>
      <c r="AN19" s="3"/>
      <c r="AO19" s="3"/>
      <c r="AP19" s="3">
        <v>1</v>
      </c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 x14ac:dyDescent="0.3">
      <c r="A20" s="5" t="s">
        <v>337</v>
      </c>
      <c r="B20" s="59">
        <v>11</v>
      </c>
      <c r="C20" s="60"/>
      <c r="D20" s="3" t="s">
        <v>194</v>
      </c>
      <c r="E20" s="3">
        <v>1</v>
      </c>
      <c r="F20" s="3">
        <v>1</v>
      </c>
      <c r="G20" s="3"/>
      <c r="H20" s="3"/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/>
      <c r="O20" s="3"/>
      <c r="P20" s="3">
        <v>1</v>
      </c>
      <c r="Q20" s="3"/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/>
      <c r="X20" s="3">
        <v>1</v>
      </c>
      <c r="Y20" s="3"/>
      <c r="Z20" s="3">
        <v>1</v>
      </c>
      <c r="AA20" s="3">
        <v>1</v>
      </c>
      <c r="AB20" s="3"/>
      <c r="AC20" s="3">
        <v>1</v>
      </c>
      <c r="AD20" s="3">
        <v>1</v>
      </c>
      <c r="AE20" s="3">
        <v>1</v>
      </c>
      <c r="AF20" s="3">
        <v>1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/>
      <c r="AM20" s="3">
        <v>1</v>
      </c>
      <c r="AN20" s="3">
        <v>1</v>
      </c>
      <c r="AO20" s="3">
        <v>1</v>
      </c>
      <c r="AP20" s="3">
        <v>1</v>
      </c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 x14ac:dyDescent="0.3">
      <c r="A21" s="5" t="s">
        <v>337</v>
      </c>
      <c r="B21" s="59">
        <v>11</v>
      </c>
      <c r="C21" s="60"/>
      <c r="D21" s="3" t="s">
        <v>31</v>
      </c>
      <c r="E21" s="3">
        <v>1</v>
      </c>
      <c r="F21" s="3">
        <v>1</v>
      </c>
      <c r="G21" s="3"/>
      <c r="H21" s="3"/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/>
      <c r="P21" s="3"/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  <c r="AG21" s="3">
        <v>1</v>
      </c>
      <c r="AH21" s="3">
        <v>1</v>
      </c>
      <c r="AI21" s="3">
        <v>1</v>
      </c>
      <c r="AJ21" s="3">
        <v>1</v>
      </c>
      <c r="AK21" s="3">
        <v>1</v>
      </c>
      <c r="AL21" s="3"/>
      <c r="AM21" s="3">
        <v>1</v>
      </c>
      <c r="AN21" s="3">
        <v>1</v>
      </c>
      <c r="AO21" s="3">
        <v>1</v>
      </c>
      <c r="AP21" s="3">
        <v>1</v>
      </c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 x14ac:dyDescent="0.3">
      <c r="A22" s="3" t="s">
        <v>337</v>
      </c>
      <c r="B22" s="62">
        <v>11</v>
      </c>
      <c r="C22" s="64"/>
      <c r="D22" s="3" t="s">
        <v>284</v>
      </c>
      <c r="E22" s="3">
        <v>1</v>
      </c>
      <c r="F22" s="3">
        <v>1</v>
      </c>
      <c r="G22" s="3"/>
      <c r="H22" s="3"/>
      <c r="I22" s="3">
        <v>1</v>
      </c>
      <c r="J22" s="3"/>
      <c r="K22" s="3">
        <v>1</v>
      </c>
      <c r="L22" s="3">
        <v>1</v>
      </c>
      <c r="M22" s="3">
        <v>1</v>
      </c>
      <c r="N22" s="3">
        <v>1</v>
      </c>
      <c r="O22" s="3"/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  <c r="AG22" s="3">
        <v>1</v>
      </c>
      <c r="AH22" s="3">
        <v>1</v>
      </c>
      <c r="AI22" s="3">
        <v>1</v>
      </c>
      <c r="AJ22" s="3">
        <v>1</v>
      </c>
      <c r="AK22" s="3">
        <v>1</v>
      </c>
      <c r="AL22" s="3"/>
      <c r="AM22" s="3">
        <v>1</v>
      </c>
      <c r="AN22" s="3">
        <v>1</v>
      </c>
      <c r="AO22" s="3">
        <v>1</v>
      </c>
      <c r="AP22" s="3">
        <v>1</v>
      </c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 x14ac:dyDescent="0.3">
      <c r="A23" s="3" t="s">
        <v>337</v>
      </c>
      <c r="B23" s="62">
        <v>11</v>
      </c>
      <c r="C23" s="64"/>
      <c r="D23" s="3" t="s">
        <v>148</v>
      </c>
      <c r="E23" s="3">
        <v>1</v>
      </c>
      <c r="F23" s="3">
        <v>1</v>
      </c>
      <c r="G23" s="3"/>
      <c r="H23" s="3"/>
      <c r="I23" s="3">
        <v>1</v>
      </c>
      <c r="J23" s="3"/>
      <c r="K23" s="3">
        <v>1</v>
      </c>
      <c r="L23" s="3">
        <v>1</v>
      </c>
      <c r="M23" s="3">
        <v>1</v>
      </c>
      <c r="N23" s="3">
        <v>1</v>
      </c>
      <c r="O23" s="3"/>
      <c r="P23" s="3"/>
      <c r="Q23" s="3">
        <v>1</v>
      </c>
      <c r="R23" s="3">
        <v>1</v>
      </c>
      <c r="S23" s="3">
        <v>1</v>
      </c>
      <c r="T23" s="3"/>
      <c r="U23" s="3"/>
      <c r="V23" s="3"/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/>
      <c r="AI23" s="3"/>
      <c r="AJ23" s="3"/>
      <c r="AK23" s="3">
        <v>1</v>
      </c>
      <c r="AL23" s="3"/>
      <c r="AM23" s="3">
        <v>1</v>
      </c>
      <c r="AN23" s="3"/>
      <c r="AO23" s="3"/>
      <c r="AP23" s="3">
        <v>1</v>
      </c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 x14ac:dyDescent="0.3">
      <c r="A24" s="3" t="s">
        <v>337</v>
      </c>
      <c r="B24" s="62">
        <v>11</v>
      </c>
      <c r="C24" s="64"/>
      <c r="D24" s="3" t="s">
        <v>35</v>
      </c>
      <c r="E24" s="3">
        <v>1</v>
      </c>
      <c r="F24" s="3">
        <v>1</v>
      </c>
      <c r="G24" s="3"/>
      <c r="H24" s="3"/>
      <c r="I24" s="3"/>
      <c r="J24" s="3"/>
      <c r="K24" s="3"/>
      <c r="L24" s="3">
        <v>1</v>
      </c>
      <c r="M24" s="3"/>
      <c r="N24" s="3">
        <v>1</v>
      </c>
      <c r="O24" s="3"/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/>
      <c r="Y24" s="3"/>
      <c r="Z24" s="3">
        <v>1</v>
      </c>
      <c r="AA24" s="3"/>
      <c r="AB24" s="3"/>
      <c r="AC24" s="3">
        <v>1</v>
      </c>
      <c r="AD24" s="3">
        <v>1</v>
      </c>
      <c r="AE24" s="3">
        <v>1</v>
      </c>
      <c r="AF24" s="3">
        <v>1</v>
      </c>
      <c r="AG24" s="3"/>
      <c r="AH24" s="3">
        <v>1</v>
      </c>
      <c r="AI24" s="3"/>
      <c r="AJ24" s="3"/>
      <c r="AK24" s="3">
        <v>1</v>
      </c>
      <c r="AL24" s="3"/>
      <c r="AM24" s="3"/>
      <c r="AN24" s="3"/>
      <c r="AO24" s="3"/>
      <c r="AP24" s="3">
        <v>1</v>
      </c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 x14ac:dyDescent="0.3">
      <c r="A25" s="3" t="s">
        <v>337</v>
      </c>
      <c r="B25" s="62">
        <v>11</v>
      </c>
      <c r="C25" s="64"/>
      <c r="D25" s="3" t="s">
        <v>45</v>
      </c>
      <c r="E25" s="3"/>
      <c r="F25" s="3">
        <v>1</v>
      </c>
      <c r="G25" s="3"/>
      <c r="H25" s="3"/>
      <c r="I25" s="3"/>
      <c r="J25" s="3"/>
      <c r="K25" s="3">
        <v>1</v>
      </c>
      <c r="L25" s="3">
        <v>1</v>
      </c>
      <c r="M25" s="3"/>
      <c r="N25" s="3"/>
      <c r="O25" s="3"/>
      <c r="P25" s="3"/>
      <c r="Q25" s="3"/>
      <c r="R25" s="3">
        <v>1</v>
      </c>
      <c r="S25" s="3">
        <v>1</v>
      </c>
      <c r="T25" s="3"/>
      <c r="U25" s="3">
        <v>1</v>
      </c>
      <c r="V25" s="3">
        <v>1</v>
      </c>
      <c r="W25" s="3"/>
      <c r="X25" s="3">
        <v>1</v>
      </c>
      <c r="Y25" s="3"/>
      <c r="Z25" s="3"/>
      <c r="AA25" s="3">
        <v>1</v>
      </c>
      <c r="AB25" s="3">
        <v>1</v>
      </c>
      <c r="AC25" s="3">
        <v>1</v>
      </c>
      <c r="AD25" s="3">
        <v>1</v>
      </c>
      <c r="AE25" s="3"/>
      <c r="AF25" s="3"/>
      <c r="AG25" s="3">
        <v>1</v>
      </c>
      <c r="AH25" s="3"/>
      <c r="AI25" s="3"/>
      <c r="AJ25" s="3">
        <v>1</v>
      </c>
      <c r="AK25" s="3">
        <v>1</v>
      </c>
      <c r="AL25" s="3"/>
      <c r="AM25" s="3">
        <v>1</v>
      </c>
      <c r="AN25" s="3">
        <v>1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 x14ac:dyDescent="0.3">
      <c r="A26" s="3" t="s">
        <v>337</v>
      </c>
      <c r="B26" s="62">
        <v>11</v>
      </c>
      <c r="C26" s="64"/>
      <c r="D26" s="3" t="s">
        <v>163</v>
      </c>
      <c r="E26" s="3"/>
      <c r="F26" s="3"/>
      <c r="G26" s="3"/>
      <c r="H26" s="3"/>
      <c r="I26" s="3"/>
      <c r="J26" s="3"/>
      <c r="K26" s="3">
        <v>1</v>
      </c>
      <c r="L26" s="3"/>
      <c r="M26" s="3">
        <v>1</v>
      </c>
      <c r="N26" s="3">
        <v>1</v>
      </c>
      <c r="O26" s="3"/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/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3">
        <v>1</v>
      </c>
      <c r="AJ26" s="3">
        <v>1</v>
      </c>
      <c r="AK26" s="3">
        <v>1</v>
      </c>
      <c r="AL26" s="3"/>
      <c r="AM26" s="3">
        <v>1</v>
      </c>
      <c r="AN26" s="3"/>
      <c r="AO26" s="3">
        <v>1</v>
      </c>
      <c r="AP26" s="3">
        <v>1</v>
      </c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 x14ac:dyDescent="0.3">
      <c r="A27" s="3" t="s">
        <v>337</v>
      </c>
      <c r="B27" s="62">
        <v>11</v>
      </c>
      <c r="C27" s="64"/>
      <c r="D27" s="3" t="s">
        <v>265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 x14ac:dyDescent="0.3">
      <c r="A28" s="3" t="s">
        <v>337</v>
      </c>
      <c r="B28" s="62">
        <v>11</v>
      </c>
      <c r="C28" s="64"/>
      <c r="D28" s="3" t="s">
        <v>47</v>
      </c>
      <c r="E28" s="3">
        <v>1</v>
      </c>
      <c r="F28" s="3">
        <v>1</v>
      </c>
      <c r="G28" s="3"/>
      <c r="H28" s="3"/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/>
      <c r="O28" s="3"/>
      <c r="P28" s="3">
        <v>1</v>
      </c>
      <c r="Q28" s="3">
        <v>1</v>
      </c>
      <c r="R28" s="3"/>
      <c r="S28" s="3">
        <v>1</v>
      </c>
      <c r="T28" s="3">
        <v>1</v>
      </c>
      <c r="U28" s="3">
        <v>1</v>
      </c>
      <c r="V28" s="3">
        <v>1</v>
      </c>
      <c r="W28" s="3"/>
      <c r="X28" s="3">
        <v>1</v>
      </c>
      <c r="Y28" s="3"/>
      <c r="Z28" s="3"/>
      <c r="AA28" s="3">
        <v>1</v>
      </c>
      <c r="AB28" s="3">
        <v>1</v>
      </c>
      <c r="AC28" s="3"/>
      <c r="AD28" s="3"/>
      <c r="AE28" s="3">
        <v>1</v>
      </c>
      <c r="AF28" s="3">
        <v>1</v>
      </c>
      <c r="AG28" s="3"/>
      <c r="AH28" s="3">
        <v>1</v>
      </c>
      <c r="AI28" s="3">
        <v>1</v>
      </c>
      <c r="AJ28" s="3">
        <v>1</v>
      </c>
      <c r="AK28" s="3"/>
      <c r="AL28" s="3"/>
      <c r="AM28" s="3">
        <v>1</v>
      </c>
      <c r="AN28" s="3">
        <v>1</v>
      </c>
      <c r="AO28" s="3">
        <v>1</v>
      </c>
      <c r="AP28" s="3">
        <v>1</v>
      </c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 x14ac:dyDescent="0.3">
      <c r="A29" s="3" t="s">
        <v>337</v>
      </c>
      <c r="B29" s="62">
        <v>11</v>
      </c>
      <c r="C29" s="64"/>
      <c r="D29" s="3" t="s">
        <v>98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 x14ac:dyDescent="0.3">
      <c r="A30" s="3" t="s">
        <v>337</v>
      </c>
      <c r="B30" s="62">
        <v>11</v>
      </c>
      <c r="C30" s="64"/>
      <c r="D30" s="3" t="s">
        <v>217</v>
      </c>
      <c r="E30" s="3">
        <v>1</v>
      </c>
      <c r="F30" s="3">
        <v>1</v>
      </c>
      <c r="G30" s="3"/>
      <c r="H30" s="3"/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/>
      <c r="P30" s="3">
        <v>1</v>
      </c>
      <c r="Q30" s="3">
        <v>1</v>
      </c>
      <c r="R30" s="3"/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1</v>
      </c>
      <c r="AE30" s="3">
        <v>1</v>
      </c>
      <c r="AF30" s="3"/>
      <c r="AG30" s="3">
        <v>1</v>
      </c>
      <c r="AH30" s="3">
        <v>1</v>
      </c>
      <c r="AI30" s="3">
        <v>1</v>
      </c>
      <c r="AJ30" s="3">
        <v>1</v>
      </c>
      <c r="AK30" s="3">
        <v>1</v>
      </c>
      <c r="AL30" s="3"/>
      <c r="AM30" s="3">
        <v>1</v>
      </c>
      <c r="AN30" s="3">
        <v>1</v>
      </c>
      <c r="AO30" s="3"/>
      <c r="AP30" s="3">
        <v>1</v>
      </c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 x14ac:dyDescent="0.3">
      <c r="A31" s="3" t="s">
        <v>337</v>
      </c>
      <c r="B31" s="62">
        <v>11</v>
      </c>
      <c r="C31" s="64"/>
      <c r="D31" s="3" t="s">
        <v>277</v>
      </c>
      <c r="E31" s="3">
        <v>1</v>
      </c>
      <c r="F31" s="3">
        <v>1</v>
      </c>
      <c r="G31" s="3"/>
      <c r="H31" s="3"/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/>
      <c r="P31" s="3">
        <v>1</v>
      </c>
      <c r="Q31" s="3"/>
      <c r="R31" s="3"/>
      <c r="S31" s="3"/>
      <c r="T31" s="3"/>
      <c r="U31" s="3"/>
      <c r="V31" s="3"/>
      <c r="W31" s="3"/>
      <c r="X31" s="3">
        <v>1</v>
      </c>
      <c r="Y31" s="3">
        <v>1</v>
      </c>
      <c r="Z31" s="3"/>
      <c r="AA31" s="3">
        <v>1</v>
      </c>
      <c r="AB31" s="3">
        <v>1</v>
      </c>
      <c r="AC31" s="3">
        <v>1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3">
        <v>1</v>
      </c>
      <c r="AJ31" s="3">
        <v>1</v>
      </c>
      <c r="AK31" s="3">
        <v>1</v>
      </c>
      <c r="AL31" s="3"/>
      <c r="AM31" s="3">
        <v>1</v>
      </c>
      <c r="AN31" s="3">
        <v>1</v>
      </c>
      <c r="AO31" s="3"/>
      <c r="AP31" s="3">
        <v>1</v>
      </c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 x14ac:dyDescent="0.3">
      <c r="A32" s="3" t="s">
        <v>337</v>
      </c>
      <c r="B32" s="62">
        <v>11</v>
      </c>
      <c r="C32" s="64"/>
      <c r="D32" s="3" t="s">
        <v>259</v>
      </c>
      <c r="E32" s="3">
        <v>1</v>
      </c>
      <c r="F32" s="3">
        <v>1</v>
      </c>
      <c r="G32" s="3"/>
      <c r="H32" s="3"/>
      <c r="I32" s="3">
        <v>1</v>
      </c>
      <c r="J32" s="3">
        <v>1</v>
      </c>
      <c r="K32" s="3">
        <v>1</v>
      </c>
      <c r="L32" s="3">
        <v>1</v>
      </c>
      <c r="M32" s="3">
        <v>1</v>
      </c>
      <c r="N32" s="3">
        <v>1</v>
      </c>
      <c r="O32" s="3"/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">
        <v>1</v>
      </c>
      <c r="AE32" s="3">
        <v>1</v>
      </c>
      <c r="AF32" s="3">
        <v>1</v>
      </c>
      <c r="AG32" s="3">
        <v>1</v>
      </c>
      <c r="AH32" s="3">
        <v>1</v>
      </c>
      <c r="AI32" s="3">
        <v>1</v>
      </c>
      <c r="AJ32" s="3">
        <v>1</v>
      </c>
      <c r="AK32" s="3">
        <v>1</v>
      </c>
      <c r="AL32" s="3"/>
      <c r="AM32" s="3">
        <v>1</v>
      </c>
      <c r="AN32" s="3">
        <v>1</v>
      </c>
      <c r="AO32" s="3">
        <v>1</v>
      </c>
      <c r="AP32" s="3">
        <v>1</v>
      </c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3">
      <c r="A33" s="3" t="s">
        <v>337</v>
      </c>
      <c r="B33" s="62">
        <v>11</v>
      </c>
      <c r="C33" s="64"/>
      <c r="D33" s="3" t="s">
        <v>81</v>
      </c>
      <c r="E33" s="3">
        <v>1</v>
      </c>
      <c r="F33" s="3">
        <v>1</v>
      </c>
      <c r="G33" s="3"/>
      <c r="H33" s="3"/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/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/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/>
      <c r="AC33" s="3">
        <v>1</v>
      </c>
      <c r="AD33" s="3">
        <v>1</v>
      </c>
      <c r="AE33" s="3">
        <v>1</v>
      </c>
      <c r="AF33" s="3"/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/>
      <c r="AM33" s="3">
        <v>1</v>
      </c>
      <c r="AN33" s="3">
        <v>1</v>
      </c>
      <c r="AO33" s="3"/>
      <c r="AP33" s="3">
        <v>1</v>
      </c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1:57" x14ac:dyDescent="0.3">
      <c r="A34" s="3" t="s">
        <v>337</v>
      </c>
      <c r="B34" s="62">
        <v>11</v>
      </c>
      <c r="C34" s="64"/>
      <c r="D34" s="3" t="s">
        <v>181</v>
      </c>
      <c r="E34" s="3">
        <v>1</v>
      </c>
      <c r="F34" s="3"/>
      <c r="G34" s="3"/>
      <c r="H34" s="3"/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/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1</v>
      </c>
      <c r="AA34" s="3">
        <v>1</v>
      </c>
      <c r="AB34" s="3">
        <v>1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  <c r="AI34" s="3">
        <v>1</v>
      </c>
      <c r="AJ34" s="3">
        <v>1</v>
      </c>
      <c r="AK34" s="3">
        <v>1</v>
      </c>
      <c r="AL34" s="3"/>
      <c r="AM34" s="3">
        <v>1</v>
      </c>
      <c r="AN34" s="3">
        <v>1</v>
      </c>
      <c r="AO34" s="3">
        <v>1</v>
      </c>
      <c r="AP34" s="3">
        <v>1</v>
      </c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 x14ac:dyDescent="0.3">
      <c r="A35" s="3" t="s">
        <v>337</v>
      </c>
      <c r="B35" s="62">
        <v>11</v>
      </c>
      <c r="C35" s="64"/>
      <c r="D35" s="3" t="s">
        <v>150</v>
      </c>
      <c r="E35" s="3">
        <v>1</v>
      </c>
      <c r="F35" s="3"/>
      <c r="G35" s="3"/>
      <c r="H35" s="3"/>
      <c r="I35" s="3">
        <v>1</v>
      </c>
      <c r="J35" s="3"/>
      <c r="K35" s="3">
        <v>1</v>
      </c>
      <c r="L35" s="3">
        <v>1</v>
      </c>
      <c r="M35" s="3">
        <v>1</v>
      </c>
      <c r="N35" s="3">
        <v>1</v>
      </c>
      <c r="O35" s="3"/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3">
        <v>1</v>
      </c>
      <c r="AJ35" s="3">
        <v>1</v>
      </c>
      <c r="AK35" s="3">
        <v>1</v>
      </c>
      <c r="AL35" s="3"/>
      <c r="AM35" s="3">
        <v>1</v>
      </c>
      <c r="AN35" s="3">
        <v>1</v>
      </c>
      <c r="AO35" s="3">
        <v>1</v>
      </c>
      <c r="AP35" s="3">
        <v>1</v>
      </c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 x14ac:dyDescent="0.3">
      <c r="A36" s="3" t="s">
        <v>337</v>
      </c>
      <c r="B36" s="62">
        <v>11</v>
      </c>
      <c r="C36" s="64"/>
      <c r="D36" s="3" t="s">
        <v>147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 x14ac:dyDescent="0.3">
      <c r="A37" s="3" t="s">
        <v>337</v>
      </c>
      <c r="B37" s="62">
        <v>11</v>
      </c>
      <c r="C37" s="64"/>
      <c r="D37" s="3" t="s">
        <v>252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>
        <v>1</v>
      </c>
      <c r="AI37" s="3"/>
      <c r="AJ37" s="3"/>
      <c r="AK37" s="3">
        <v>1</v>
      </c>
      <c r="AL37" s="3"/>
      <c r="AM37" s="3">
        <v>1</v>
      </c>
      <c r="AN37" s="3"/>
      <c r="AO37" s="3"/>
      <c r="AP37" s="3">
        <v>1</v>
      </c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 x14ac:dyDescent="0.3">
      <c r="A38" s="3" t="s">
        <v>337</v>
      </c>
      <c r="B38" s="62">
        <v>11</v>
      </c>
      <c r="C38" s="64"/>
      <c r="D38" s="3" t="s">
        <v>136</v>
      </c>
      <c r="E38" s="3"/>
      <c r="F38" s="3">
        <v>1</v>
      </c>
      <c r="G38" s="3"/>
      <c r="H38" s="3"/>
      <c r="I38" s="3">
        <v>1</v>
      </c>
      <c r="J38" s="3">
        <v>1</v>
      </c>
      <c r="K38" s="3"/>
      <c r="L38" s="3"/>
      <c r="M38" s="3"/>
      <c r="N38" s="3"/>
      <c r="O38" s="3"/>
      <c r="P38" s="3">
        <v>1</v>
      </c>
      <c r="Q38" s="3"/>
      <c r="R38" s="3"/>
      <c r="S38" s="3"/>
      <c r="T38" s="3"/>
      <c r="U38" s="3"/>
      <c r="V38" s="3"/>
      <c r="W38" s="3"/>
      <c r="X38" s="3"/>
      <c r="Y38" s="3">
        <v>1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 x14ac:dyDescent="0.3">
      <c r="A39" s="3" t="s">
        <v>337</v>
      </c>
      <c r="B39" s="62">
        <v>11</v>
      </c>
      <c r="C39" s="64"/>
      <c r="D39" s="3" t="s">
        <v>170</v>
      </c>
      <c r="E39" s="3"/>
      <c r="F39" s="3">
        <v>1</v>
      </c>
      <c r="G39" s="3"/>
      <c r="H39" s="3"/>
      <c r="I39" s="3"/>
      <c r="J39" s="3">
        <v>1</v>
      </c>
      <c r="K39" s="3">
        <v>1</v>
      </c>
      <c r="L39" s="3">
        <v>1</v>
      </c>
      <c r="M39" s="3">
        <v>1</v>
      </c>
      <c r="N39" s="3">
        <v>1</v>
      </c>
      <c r="O39" s="3"/>
      <c r="P39" s="3">
        <v>1</v>
      </c>
      <c r="Q39" s="3">
        <v>1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  <c r="W39" s="3"/>
      <c r="X39" s="3">
        <v>1</v>
      </c>
      <c r="Y39" s="3"/>
      <c r="Z39" s="3"/>
      <c r="AA39" s="3">
        <v>1</v>
      </c>
      <c r="AB39" s="3"/>
      <c r="AC39" s="3"/>
      <c r="AD39" s="3"/>
      <c r="AE39" s="3">
        <v>1</v>
      </c>
      <c r="AF39" s="3">
        <v>1</v>
      </c>
      <c r="AG39" s="3"/>
      <c r="AH39" s="3">
        <v>1</v>
      </c>
      <c r="AI39" s="3"/>
      <c r="AJ39" s="3">
        <v>1</v>
      </c>
      <c r="AK39" s="3">
        <v>1</v>
      </c>
      <c r="AL39" s="3"/>
      <c r="AM39" s="3">
        <v>1</v>
      </c>
      <c r="AN39" s="3">
        <v>1</v>
      </c>
      <c r="AO39" s="3">
        <v>1</v>
      </c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 x14ac:dyDescent="0.3">
      <c r="A40" s="3" t="s">
        <v>337</v>
      </c>
      <c r="B40" s="62">
        <v>11</v>
      </c>
      <c r="C40" s="64"/>
      <c r="D40" s="3" t="s">
        <v>50</v>
      </c>
      <c r="E40" s="3">
        <v>1</v>
      </c>
      <c r="F40" s="3">
        <v>1</v>
      </c>
      <c r="G40" s="3"/>
      <c r="H40" s="3"/>
      <c r="I40" s="3">
        <v>1</v>
      </c>
      <c r="J40" s="3">
        <v>1</v>
      </c>
      <c r="K40" s="3"/>
      <c r="L40" s="3">
        <v>1</v>
      </c>
      <c r="M40" s="3">
        <v>1</v>
      </c>
      <c r="N40" s="3">
        <v>1</v>
      </c>
      <c r="O40" s="3"/>
      <c r="P40" s="3">
        <v>1</v>
      </c>
      <c r="Q40" s="3">
        <v>1</v>
      </c>
      <c r="R40" s="3"/>
      <c r="S40" s="3"/>
      <c r="T40" s="3">
        <v>1</v>
      </c>
      <c r="U40" s="3">
        <v>1</v>
      </c>
      <c r="V40" s="3">
        <v>1</v>
      </c>
      <c r="W40" s="3"/>
      <c r="X40" s="3">
        <v>1</v>
      </c>
      <c r="Y40" s="3"/>
      <c r="Z40" s="3"/>
      <c r="AA40" s="3">
        <v>1</v>
      </c>
      <c r="AB40" s="3">
        <v>1</v>
      </c>
      <c r="AC40" s="3"/>
      <c r="AD40" s="3">
        <v>1</v>
      </c>
      <c r="AE40" s="3">
        <v>1</v>
      </c>
      <c r="AF40" s="3">
        <v>1</v>
      </c>
      <c r="AG40" s="3"/>
      <c r="AH40" s="3">
        <v>1</v>
      </c>
      <c r="AI40" s="3"/>
      <c r="AJ40" s="3">
        <v>1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 x14ac:dyDescent="0.3">
      <c r="A41" s="3" t="s">
        <v>337</v>
      </c>
      <c r="B41" s="62">
        <v>11</v>
      </c>
      <c r="C41" s="64"/>
      <c r="D41" s="3" t="s">
        <v>89</v>
      </c>
      <c r="E41" s="3">
        <v>1</v>
      </c>
      <c r="F41" s="3">
        <v>1</v>
      </c>
      <c r="G41" s="3"/>
      <c r="H41" s="3"/>
      <c r="I41" s="3">
        <v>1</v>
      </c>
      <c r="J41" s="3">
        <v>1</v>
      </c>
      <c r="K41" s="3">
        <v>1</v>
      </c>
      <c r="L41" s="3">
        <v>1</v>
      </c>
      <c r="M41" s="3">
        <v>1</v>
      </c>
      <c r="N41" s="3">
        <v>1</v>
      </c>
      <c r="O41" s="3"/>
      <c r="P41" s="3"/>
      <c r="Q41" s="3">
        <v>1</v>
      </c>
      <c r="R41" s="3">
        <v>1</v>
      </c>
      <c r="S41" s="3">
        <v>1</v>
      </c>
      <c r="T41" s="3">
        <v>1</v>
      </c>
      <c r="U41" s="3">
        <v>1</v>
      </c>
      <c r="V41" s="3">
        <v>1</v>
      </c>
      <c r="W41" s="3">
        <v>1</v>
      </c>
      <c r="X41" s="3">
        <v>1</v>
      </c>
      <c r="Y41" s="3">
        <v>1</v>
      </c>
      <c r="Z41" s="3">
        <v>1</v>
      </c>
      <c r="AA41" s="3">
        <v>1</v>
      </c>
      <c r="AB41" s="3">
        <v>1</v>
      </c>
      <c r="AC41" s="3">
        <v>1</v>
      </c>
      <c r="AD41" s="3">
        <v>1</v>
      </c>
      <c r="AE41" s="3">
        <v>1</v>
      </c>
      <c r="AF41" s="3">
        <v>1</v>
      </c>
      <c r="AG41" s="3">
        <v>1</v>
      </c>
      <c r="AH41" s="3">
        <v>1</v>
      </c>
      <c r="AI41" s="3">
        <v>1</v>
      </c>
      <c r="AJ41" s="3">
        <v>1</v>
      </c>
      <c r="AK41" s="3">
        <v>1</v>
      </c>
      <c r="AL41" s="3"/>
      <c r="AM41" s="3">
        <v>1</v>
      </c>
      <c r="AN41" s="3">
        <v>1</v>
      </c>
      <c r="AO41" s="3">
        <v>1</v>
      </c>
      <c r="AP41" s="3">
        <v>1</v>
      </c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 x14ac:dyDescent="0.3">
      <c r="A42" s="3" t="s">
        <v>337</v>
      </c>
      <c r="B42" s="62">
        <v>11</v>
      </c>
      <c r="C42" s="64"/>
      <c r="D42" s="3" t="s">
        <v>286</v>
      </c>
      <c r="E42" s="3">
        <v>1</v>
      </c>
      <c r="F42" s="3">
        <v>1</v>
      </c>
      <c r="G42" s="3"/>
      <c r="H42" s="3"/>
      <c r="I42" s="3">
        <v>1</v>
      </c>
      <c r="J42" s="3">
        <v>1</v>
      </c>
      <c r="K42" s="3">
        <v>1</v>
      </c>
      <c r="L42" s="3">
        <v>1</v>
      </c>
      <c r="M42" s="3">
        <v>1</v>
      </c>
      <c r="N42" s="3">
        <v>1</v>
      </c>
      <c r="O42" s="3"/>
      <c r="P42" s="3">
        <v>1</v>
      </c>
      <c r="Q42" s="3">
        <v>1</v>
      </c>
      <c r="R42" s="3">
        <v>1</v>
      </c>
      <c r="S42" s="3">
        <v>1</v>
      </c>
      <c r="T42" s="3"/>
      <c r="U42" s="3">
        <v>1</v>
      </c>
      <c r="V42" s="3">
        <v>1</v>
      </c>
      <c r="W42" s="3">
        <v>1</v>
      </c>
      <c r="X42" s="3">
        <v>1</v>
      </c>
      <c r="Y42" s="3">
        <v>1</v>
      </c>
      <c r="Z42" s="3">
        <v>1</v>
      </c>
      <c r="AA42" s="3"/>
      <c r="AB42" s="3">
        <v>1</v>
      </c>
      <c r="AC42" s="3">
        <v>1</v>
      </c>
      <c r="AD42" s="3"/>
      <c r="AE42" s="3">
        <v>1</v>
      </c>
      <c r="AF42" s="3">
        <v>1</v>
      </c>
      <c r="AG42" s="3">
        <v>1</v>
      </c>
      <c r="AH42" s="3">
        <v>1</v>
      </c>
      <c r="AI42" s="3">
        <v>1</v>
      </c>
      <c r="AJ42" s="3">
        <v>1</v>
      </c>
      <c r="AK42" s="3">
        <v>1</v>
      </c>
      <c r="AL42" s="3"/>
      <c r="AM42" s="3"/>
      <c r="AN42" s="3">
        <v>1</v>
      </c>
      <c r="AO42" s="3">
        <v>1</v>
      </c>
      <c r="AP42" s="3">
        <v>1</v>
      </c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 x14ac:dyDescent="0.3">
      <c r="A43" s="3" t="s">
        <v>337</v>
      </c>
      <c r="B43" s="62">
        <v>11</v>
      </c>
      <c r="C43" s="64"/>
      <c r="D43" s="3" t="s">
        <v>111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1</v>
      </c>
      <c r="AA43" s="3">
        <v>1</v>
      </c>
      <c r="AB43" s="3">
        <v>1</v>
      </c>
      <c r="AC43" s="3">
        <v>1</v>
      </c>
      <c r="AD43" s="3"/>
      <c r="AE43" s="3"/>
      <c r="AF43" s="3">
        <v>1</v>
      </c>
      <c r="AG43" s="3">
        <v>1</v>
      </c>
      <c r="AH43" s="3">
        <v>1</v>
      </c>
      <c r="AI43" s="3">
        <v>1</v>
      </c>
      <c r="AJ43" s="3">
        <v>1</v>
      </c>
      <c r="AK43" s="3">
        <v>1</v>
      </c>
      <c r="AL43" s="3"/>
      <c r="AM43" s="3">
        <v>1</v>
      </c>
      <c r="AN43" s="3">
        <v>1</v>
      </c>
      <c r="AO43" s="3">
        <v>1</v>
      </c>
      <c r="AP43" s="3">
        <v>1</v>
      </c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 x14ac:dyDescent="0.3">
      <c r="A44" s="3" t="s">
        <v>337</v>
      </c>
      <c r="B44" s="62">
        <v>11</v>
      </c>
      <c r="C44" s="64"/>
      <c r="D44" s="3" t="s">
        <v>301</v>
      </c>
      <c r="E44" s="3">
        <v>1</v>
      </c>
      <c r="F44" s="3">
        <v>1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>
        <v>1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 x14ac:dyDescent="0.3">
      <c r="A45" s="3" t="s">
        <v>337</v>
      </c>
      <c r="B45" s="62">
        <v>11</v>
      </c>
      <c r="C45" s="64"/>
      <c r="D45" s="3" t="s">
        <v>302</v>
      </c>
      <c r="E45" s="3">
        <v>1</v>
      </c>
      <c r="F45" s="3">
        <v>1</v>
      </c>
      <c r="G45" s="3"/>
      <c r="H45" s="3"/>
      <c r="I45" s="3"/>
      <c r="J45" s="3">
        <v>1</v>
      </c>
      <c r="K45" s="3"/>
      <c r="L45" s="3">
        <v>1</v>
      </c>
      <c r="M45" s="3">
        <v>1</v>
      </c>
      <c r="N45" s="3">
        <v>1</v>
      </c>
      <c r="O45" s="3"/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1</v>
      </c>
      <c r="V45" s="3">
        <v>1</v>
      </c>
      <c r="W45" s="3"/>
      <c r="X45" s="3">
        <v>1</v>
      </c>
      <c r="Y45" s="3">
        <v>1</v>
      </c>
      <c r="Z45" s="3">
        <v>1</v>
      </c>
      <c r="AA45" s="3">
        <v>1</v>
      </c>
      <c r="AB45" s="3">
        <v>1</v>
      </c>
      <c r="AC45" s="3">
        <v>1</v>
      </c>
      <c r="AD45" s="3">
        <v>1</v>
      </c>
      <c r="AE45" s="3">
        <v>1</v>
      </c>
      <c r="AF45" s="3">
        <v>1</v>
      </c>
      <c r="AG45" s="3">
        <v>1</v>
      </c>
      <c r="AH45" s="3">
        <v>1</v>
      </c>
      <c r="AI45" s="3">
        <v>1</v>
      </c>
      <c r="AJ45" s="3">
        <v>1</v>
      </c>
      <c r="AK45" s="3">
        <v>1</v>
      </c>
      <c r="AL45" s="3"/>
      <c r="AM45" s="3">
        <v>1</v>
      </c>
      <c r="AN45" s="3">
        <v>1</v>
      </c>
      <c r="AO45" s="3">
        <v>1</v>
      </c>
      <c r="AP45" s="3">
        <v>1</v>
      </c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 x14ac:dyDescent="0.3">
      <c r="A46" s="3" t="s">
        <v>337</v>
      </c>
      <c r="B46" s="62">
        <v>11</v>
      </c>
      <c r="C46" s="64"/>
      <c r="D46" s="3" t="s">
        <v>262</v>
      </c>
      <c r="E46" s="3"/>
      <c r="F46" s="3"/>
      <c r="G46" s="3"/>
      <c r="H46" s="3"/>
      <c r="I46" s="3"/>
      <c r="J46" s="3">
        <v>1</v>
      </c>
      <c r="K46" s="3">
        <v>1</v>
      </c>
      <c r="L46" s="3">
        <v>1</v>
      </c>
      <c r="M46" s="3"/>
      <c r="N46" s="3"/>
      <c r="O46" s="3"/>
      <c r="P46" s="3"/>
      <c r="Q46" s="3"/>
      <c r="R46" s="3"/>
      <c r="S46" s="3"/>
      <c r="T46" s="3">
        <v>1</v>
      </c>
      <c r="U46" s="3"/>
      <c r="V46" s="3">
        <v>1</v>
      </c>
      <c r="W46" s="3"/>
      <c r="X46" s="3"/>
      <c r="Y46" s="3"/>
      <c r="Z46" s="3"/>
      <c r="AA46" s="3">
        <v>1</v>
      </c>
      <c r="AB46" s="3"/>
      <c r="AC46" s="3">
        <v>1</v>
      </c>
      <c r="AD46" s="3">
        <v>1</v>
      </c>
      <c r="AE46" s="3">
        <v>1</v>
      </c>
      <c r="AF46" s="3"/>
      <c r="AG46" s="3"/>
      <c r="AH46" s="3"/>
      <c r="AI46" s="3"/>
      <c r="AJ46" s="3"/>
      <c r="AK46" s="3">
        <v>1</v>
      </c>
      <c r="AL46" s="3"/>
      <c r="AM46" s="3"/>
      <c r="AN46" s="3">
        <v>1</v>
      </c>
      <c r="AO46" s="3"/>
      <c r="AP46" s="3">
        <v>1</v>
      </c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 x14ac:dyDescent="0.3">
      <c r="A47" s="3" t="s">
        <v>337</v>
      </c>
      <c r="B47" s="62">
        <v>11</v>
      </c>
      <c r="C47" s="64"/>
      <c r="D47" s="3" t="s">
        <v>30</v>
      </c>
      <c r="E47" s="3">
        <v>1</v>
      </c>
      <c r="F47" s="3">
        <v>1</v>
      </c>
      <c r="G47" s="3"/>
      <c r="H47" s="3"/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/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  <c r="Z47" s="3">
        <v>1</v>
      </c>
      <c r="AA47" s="3">
        <v>1</v>
      </c>
      <c r="AB47" s="3">
        <v>1</v>
      </c>
      <c r="AC47" s="3">
        <v>1</v>
      </c>
      <c r="AD47" s="3">
        <v>1</v>
      </c>
      <c r="AE47" s="3">
        <v>1</v>
      </c>
      <c r="AF47" s="3">
        <v>1</v>
      </c>
      <c r="AG47" s="3">
        <v>1</v>
      </c>
      <c r="AH47" s="3">
        <v>1</v>
      </c>
      <c r="AI47" s="3">
        <v>1</v>
      </c>
      <c r="AJ47" s="3">
        <v>1</v>
      </c>
      <c r="AK47" s="3">
        <v>1</v>
      </c>
      <c r="AL47" s="3"/>
      <c r="AM47" s="3">
        <v>1</v>
      </c>
      <c r="AN47" s="3">
        <v>1</v>
      </c>
      <c r="AO47" s="3">
        <v>1</v>
      </c>
      <c r="AP47" s="3">
        <v>1</v>
      </c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 x14ac:dyDescent="0.3">
      <c r="A48" s="3" t="s">
        <v>337</v>
      </c>
      <c r="B48" s="62">
        <v>11</v>
      </c>
      <c r="C48" s="64"/>
      <c r="D48" s="3" t="s">
        <v>303</v>
      </c>
      <c r="E48" s="3">
        <v>1</v>
      </c>
      <c r="F48" s="3">
        <v>1</v>
      </c>
      <c r="G48" s="3"/>
      <c r="H48" s="3"/>
      <c r="I48" s="3">
        <v>1</v>
      </c>
      <c r="J48" s="3">
        <v>1</v>
      </c>
      <c r="K48" s="3">
        <v>1</v>
      </c>
      <c r="L48" s="3">
        <v>1</v>
      </c>
      <c r="M48" s="3">
        <v>1</v>
      </c>
      <c r="N48" s="3">
        <v>1</v>
      </c>
      <c r="O48" s="3"/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1</v>
      </c>
      <c r="W48" s="3"/>
      <c r="X48" s="3">
        <v>1</v>
      </c>
      <c r="Y48" s="3">
        <v>1</v>
      </c>
      <c r="Z48" s="3"/>
      <c r="AA48" s="3">
        <v>1</v>
      </c>
      <c r="AB48" s="3"/>
      <c r="AC48" s="3"/>
      <c r="AD48" s="3">
        <v>1</v>
      </c>
      <c r="AE48" s="3">
        <v>1</v>
      </c>
      <c r="AF48" s="3"/>
      <c r="AG48" s="3"/>
      <c r="AH48" s="3">
        <v>1</v>
      </c>
      <c r="AI48" s="3"/>
      <c r="AJ48" s="3">
        <v>1</v>
      </c>
      <c r="AK48" s="3">
        <v>1</v>
      </c>
      <c r="AL48" s="3"/>
      <c r="AM48" s="3">
        <v>1</v>
      </c>
      <c r="AN48" s="3">
        <v>1</v>
      </c>
      <c r="AO48" s="3"/>
      <c r="AP48" s="3">
        <v>1</v>
      </c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 x14ac:dyDescent="0.3">
      <c r="A49" s="3" t="s">
        <v>337</v>
      </c>
      <c r="B49" s="62">
        <v>11</v>
      </c>
      <c r="C49" s="64"/>
      <c r="D49" s="3" t="s">
        <v>304</v>
      </c>
      <c r="E49" s="3">
        <v>1</v>
      </c>
      <c r="F49" s="3">
        <v>1</v>
      </c>
      <c r="G49" s="3"/>
      <c r="H49" s="3"/>
      <c r="I49" s="3"/>
      <c r="J49" s="3"/>
      <c r="K49" s="3"/>
      <c r="L49" s="3">
        <v>1</v>
      </c>
      <c r="M49" s="3">
        <v>1</v>
      </c>
      <c r="N49" s="3">
        <v>1</v>
      </c>
      <c r="O49" s="3"/>
      <c r="P49" s="3">
        <v>1</v>
      </c>
      <c r="Q49" s="3">
        <v>1</v>
      </c>
      <c r="R49" s="3"/>
      <c r="S49" s="3">
        <v>1</v>
      </c>
      <c r="T49" s="3">
        <v>1</v>
      </c>
      <c r="U49" s="3"/>
      <c r="V49" s="3">
        <v>1</v>
      </c>
      <c r="W49" s="3"/>
      <c r="X49" s="3">
        <v>1</v>
      </c>
      <c r="Y49" s="3">
        <v>1</v>
      </c>
      <c r="Z49" s="3">
        <v>1</v>
      </c>
      <c r="AA49" s="3">
        <v>1</v>
      </c>
      <c r="AB49" s="3"/>
      <c r="AC49" s="3">
        <v>1</v>
      </c>
      <c r="AD49" s="3">
        <v>1</v>
      </c>
      <c r="AE49" s="3">
        <v>1</v>
      </c>
      <c r="AF49" s="3"/>
      <c r="AG49" s="3"/>
      <c r="AH49" s="3">
        <v>1</v>
      </c>
      <c r="AI49" s="3">
        <v>1</v>
      </c>
      <c r="AJ49" s="3">
        <v>1</v>
      </c>
      <c r="AK49" s="3">
        <v>1</v>
      </c>
      <c r="AL49" s="3"/>
      <c r="AM49" s="3">
        <v>1</v>
      </c>
      <c r="AN49" s="3">
        <v>1</v>
      </c>
      <c r="AO49" s="3">
        <v>1</v>
      </c>
      <c r="AP49" s="3">
        <v>1</v>
      </c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 x14ac:dyDescent="0.3">
      <c r="A50" s="3" t="s">
        <v>337</v>
      </c>
      <c r="B50" s="62">
        <v>11</v>
      </c>
      <c r="C50" s="64"/>
      <c r="D50" s="3" t="s">
        <v>305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>
        <v>1</v>
      </c>
      <c r="Q50" s="3">
        <v>1</v>
      </c>
      <c r="R50" s="3">
        <v>1</v>
      </c>
      <c r="S50" s="3">
        <v>1</v>
      </c>
      <c r="T50" s="3">
        <v>1</v>
      </c>
      <c r="U50" s="3">
        <v>1</v>
      </c>
      <c r="V50" s="3">
        <v>1</v>
      </c>
      <c r="W50" s="3">
        <v>1</v>
      </c>
      <c r="X50" s="3">
        <v>1</v>
      </c>
      <c r="Y50" s="3">
        <v>1</v>
      </c>
      <c r="Z50" s="3">
        <v>1</v>
      </c>
      <c r="AA50" s="3">
        <v>1</v>
      </c>
      <c r="AB50" s="3">
        <v>1</v>
      </c>
      <c r="AC50" s="3">
        <v>1</v>
      </c>
      <c r="AD50" s="3">
        <v>1</v>
      </c>
      <c r="AE50" s="3">
        <v>1</v>
      </c>
      <c r="AF50" s="3">
        <v>1</v>
      </c>
      <c r="AG50" s="3">
        <v>1</v>
      </c>
      <c r="AH50" s="3"/>
      <c r="AI50" s="3">
        <v>1</v>
      </c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 x14ac:dyDescent="0.3">
      <c r="A51" s="3" t="s">
        <v>337</v>
      </c>
      <c r="B51" s="62">
        <v>12</v>
      </c>
      <c r="C51" s="64"/>
      <c r="D51" s="3" t="s">
        <v>211</v>
      </c>
      <c r="E51" s="3">
        <v>1</v>
      </c>
      <c r="F51" s="3">
        <v>1</v>
      </c>
      <c r="G51" s="3"/>
      <c r="H51" s="3"/>
      <c r="I51" s="3">
        <v>1</v>
      </c>
      <c r="J51" s="3">
        <v>1</v>
      </c>
      <c r="K51" s="3">
        <v>1</v>
      </c>
      <c r="L51" s="3">
        <v>1</v>
      </c>
      <c r="M51" s="3">
        <v>1</v>
      </c>
      <c r="N51" s="3">
        <v>1</v>
      </c>
      <c r="O51" s="3"/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1</v>
      </c>
      <c r="X51" s="3"/>
      <c r="Y51" s="3">
        <v>1</v>
      </c>
      <c r="Z51" s="3">
        <v>1</v>
      </c>
      <c r="AA51" s="3">
        <v>1</v>
      </c>
      <c r="AB51" s="3">
        <v>1</v>
      </c>
      <c r="AC51" s="3">
        <v>1</v>
      </c>
      <c r="AD51" s="3">
        <v>1</v>
      </c>
      <c r="AE51" s="3">
        <v>1</v>
      </c>
      <c r="AF51" s="3">
        <v>1</v>
      </c>
      <c r="AG51" s="3">
        <v>1</v>
      </c>
      <c r="AH51" s="3">
        <v>1</v>
      </c>
      <c r="AI51" s="3">
        <v>1</v>
      </c>
      <c r="AJ51" s="3">
        <v>1</v>
      </c>
      <c r="AK51" s="3">
        <v>1</v>
      </c>
      <c r="AL51" s="3"/>
      <c r="AM51" s="3">
        <v>1</v>
      </c>
      <c r="AN51" s="3">
        <v>1</v>
      </c>
      <c r="AO51" s="3">
        <v>1</v>
      </c>
      <c r="AP51" s="3">
        <v>1</v>
      </c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 x14ac:dyDescent="0.3">
      <c r="A52" s="3" t="s">
        <v>337</v>
      </c>
      <c r="B52" s="62">
        <v>12</v>
      </c>
      <c r="C52" s="64"/>
      <c r="D52" s="3" t="s">
        <v>185</v>
      </c>
      <c r="E52" s="3">
        <v>1</v>
      </c>
      <c r="F52" s="3">
        <v>1</v>
      </c>
      <c r="G52" s="3"/>
      <c r="H52" s="3"/>
      <c r="I52" s="3">
        <v>1</v>
      </c>
      <c r="J52" s="3">
        <v>1</v>
      </c>
      <c r="K52" s="3">
        <v>1</v>
      </c>
      <c r="L52" s="3">
        <v>1</v>
      </c>
      <c r="M52" s="3">
        <v>1</v>
      </c>
      <c r="N52" s="3">
        <v>1</v>
      </c>
      <c r="O52" s="3"/>
      <c r="P52" s="3"/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/>
      <c r="Y52" s="3">
        <v>1</v>
      </c>
      <c r="Z52" s="3">
        <v>1</v>
      </c>
      <c r="AA52" s="3">
        <v>1</v>
      </c>
      <c r="AB52" s="3">
        <v>1</v>
      </c>
      <c r="AC52" s="3">
        <v>1</v>
      </c>
      <c r="AD52" s="3">
        <v>1</v>
      </c>
      <c r="AE52" s="3">
        <v>1</v>
      </c>
      <c r="AF52" s="3">
        <v>1</v>
      </c>
      <c r="AG52" s="3"/>
      <c r="AH52" s="3">
        <v>1</v>
      </c>
      <c r="AI52" s="3">
        <v>1</v>
      </c>
      <c r="AJ52" s="3">
        <v>1</v>
      </c>
      <c r="AK52" s="3">
        <v>1</v>
      </c>
      <c r="AL52" s="3"/>
      <c r="AM52" s="3">
        <v>1</v>
      </c>
      <c r="AN52" s="3">
        <v>1</v>
      </c>
      <c r="AO52" s="3">
        <v>1</v>
      </c>
      <c r="AP52" s="3">
        <v>1</v>
      </c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 x14ac:dyDescent="0.3">
      <c r="A53" s="3" t="s">
        <v>337</v>
      </c>
      <c r="B53" s="62">
        <v>12</v>
      </c>
      <c r="C53" s="64"/>
      <c r="D53" s="3" t="s">
        <v>166</v>
      </c>
      <c r="E53" s="3"/>
      <c r="F53" s="3"/>
      <c r="G53" s="3"/>
      <c r="H53" s="3"/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/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/>
      <c r="W53" s="3"/>
      <c r="X53" s="3">
        <v>1</v>
      </c>
      <c r="Y53" s="3">
        <v>1</v>
      </c>
      <c r="Z53" s="3">
        <v>1</v>
      </c>
      <c r="AA53" s="3">
        <v>1</v>
      </c>
      <c r="AB53" s="3">
        <v>1</v>
      </c>
      <c r="AC53" s="3">
        <v>1</v>
      </c>
      <c r="AD53" s="3">
        <v>1</v>
      </c>
      <c r="AE53" s="3">
        <v>1</v>
      </c>
      <c r="AF53" s="3">
        <v>1</v>
      </c>
      <c r="AG53" s="3">
        <v>1</v>
      </c>
      <c r="AH53" s="3">
        <v>1</v>
      </c>
      <c r="AI53" s="3">
        <v>1</v>
      </c>
      <c r="AJ53" s="3">
        <v>1</v>
      </c>
      <c r="AK53" s="3">
        <v>1</v>
      </c>
      <c r="AL53" s="3"/>
      <c r="AM53" s="3">
        <v>1</v>
      </c>
      <c r="AN53" s="3">
        <v>1</v>
      </c>
      <c r="AO53" s="3">
        <v>1</v>
      </c>
      <c r="AP53" s="3">
        <v>1</v>
      </c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 x14ac:dyDescent="0.3">
      <c r="A54" s="3" t="s">
        <v>337</v>
      </c>
      <c r="B54" s="62">
        <v>12</v>
      </c>
      <c r="C54" s="64"/>
      <c r="D54" s="3" t="s">
        <v>264</v>
      </c>
      <c r="E54" s="3">
        <v>1</v>
      </c>
      <c r="F54" s="3"/>
      <c r="G54" s="3"/>
      <c r="H54" s="3"/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>
        <v>1</v>
      </c>
      <c r="O54" s="3"/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1</v>
      </c>
      <c r="Z54" s="3">
        <v>1</v>
      </c>
      <c r="AA54" s="3"/>
      <c r="AB54" s="3">
        <v>1</v>
      </c>
      <c r="AC54" s="3">
        <v>1</v>
      </c>
      <c r="AD54" s="3">
        <v>1</v>
      </c>
      <c r="AE54" s="3">
        <v>1</v>
      </c>
      <c r="AF54" s="3">
        <v>1</v>
      </c>
      <c r="AG54" s="3">
        <v>1</v>
      </c>
      <c r="AH54" s="3">
        <v>1</v>
      </c>
      <c r="AI54" s="3">
        <v>1</v>
      </c>
      <c r="AJ54" s="3">
        <v>1</v>
      </c>
      <c r="AK54" s="3">
        <v>1</v>
      </c>
      <c r="AL54" s="3"/>
      <c r="AM54" s="3">
        <v>1</v>
      </c>
      <c r="AN54" s="3">
        <v>1</v>
      </c>
      <c r="AO54" s="3">
        <v>1</v>
      </c>
      <c r="AP54" s="3">
        <v>1</v>
      </c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 x14ac:dyDescent="0.3">
      <c r="A55" s="3" t="s">
        <v>337</v>
      </c>
      <c r="B55" s="62">
        <v>12</v>
      </c>
      <c r="C55" s="64"/>
      <c r="D55" s="3" t="s">
        <v>275</v>
      </c>
      <c r="E55" s="3">
        <v>1</v>
      </c>
      <c r="F55" s="3">
        <v>1</v>
      </c>
      <c r="G55" s="3"/>
      <c r="H55" s="3"/>
      <c r="I55" s="3">
        <v>1</v>
      </c>
      <c r="J55" s="3">
        <v>1</v>
      </c>
      <c r="K55" s="3"/>
      <c r="L55" s="3">
        <v>1</v>
      </c>
      <c r="M55" s="3">
        <v>1</v>
      </c>
      <c r="N55" s="3">
        <v>1</v>
      </c>
      <c r="O55" s="3"/>
      <c r="P55" s="3"/>
      <c r="Q55" s="3">
        <v>1</v>
      </c>
      <c r="R55" s="3"/>
      <c r="S55" s="3">
        <v>1</v>
      </c>
      <c r="T55" s="3">
        <v>1</v>
      </c>
      <c r="U55" s="3">
        <v>1</v>
      </c>
      <c r="V55" s="3">
        <v>1</v>
      </c>
      <c r="W55" s="3">
        <v>1</v>
      </c>
      <c r="X55" s="3">
        <v>1</v>
      </c>
      <c r="Y55" s="3"/>
      <c r="Z55" s="3">
        <v>1</v>
      </c>
      <c r="AA55" s="3">
        <v>1</v>
      </c>
      <c r="AB55" s="3">
        <v>1</v>
      </c>
      <c r="AC55" s="3">
        <v>1</v>
      </c>
      <c r="AD55" s="3">
        <v>1</v>
      </c>
      <c r="AE55" s="3">
        <v>1</v>
      </c>
      <c r="AF55" s="3">
        <v>1</v>
      </c>
      <c r="AG55" s="3">
        <v>1</v>
      </c>
      <c r="AH55" s="3">
        <v>1</v>
      </c>
      <c r="AI55" s="3">
        <v>1</v>
      </c>
      <c r="AJ55" s="3">
        <v>1</v>
      </c>
      <c r="AK55" s="3">
        <v>1</v>
      </c>
      <c r="AL55" s="3"/>
      <c r="AM55" s="3">
        <v>1</v>
      </c>
      <c r="AN55" s="3">
        <v>1</v>
      </c>
      <c r="AO55" s="3">
        <v>1</v>
      </c>
      <c r="AP55" s="3">
        <v>1</v>
      </c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 x14ac:dyDescent="0.3">
      <c r="A56" s="3" t="s">
        <v>337</v>
      </c>
      <c r="B56" s="62">
        <v>12</v>
      </c>
      <c r="C56" s="64"/>
      <c r="D56" s="3" t="s">
        <v>85</v>
      </c>
      <c r="E56" s="3">
        <v>1</v>
      </c>
      <c r="F56" s="3">
        <v>1</v>
      </c>
      <c r="G56" s="3"/>
      <c r="H56" s="3"/>
      <c r="I56" s="3">
        <v>1</v>
      </c>
      <c r="J56" s="3">
        <v>1</v>
      </c>
      <c r="K56" s="3">
        <v>1</v>
      </c>
      <c r="L56" s="3">
        <v>1</v>
      </c>
      <c r="M56" s="3">
        <v>1</v>
      </c>
      <c r="N56" s="3">
        <v>1</v>
      </c>
      <c r="O56" s="3"/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">
        <v>1</v>
      </c>
      <c r="W56" s="3">
        <v>1</v>
      </c>
      <c r="X56" s="3">
        <v>1</v>
      </c>
      <c r="Y56" s="3">
        <v>1</v>
      </c>
      <c r="Z56" s="3">
        <v>1</v>
      </c>
      <c r="AA56" s="3">
        <v>1</v>
      </c>
      <c r="AB56" s="3">
        <v>1</v>
      </c>
      <c r="AC56" s="3">
        <v>1</v>
      </c>
      <c r="AD56" s="3"/>
      <c r="AE56" s="3">
        <v>1</v>
      </c>
      <c r="AF56" s="3">
        <v>1</v>
      </c>
      <c r="AG56" s="3">
        <v>1</v>
      </c>
      <c r="AH56" s="3">
        <v>1</v>
      </c>
      <c r="AI56" s="3">
        <v>1</v>
      </c>
      <c r="AJ56" s="3">
        <v>1</v>
      </c>
      <c r="AK56" s="3">
        <v>1</v>
      </c>
      <c r="AL56" s="3"/>
      <c r="AM56" s="3">
        <v>1</v>
      </c>
      <c r="AN56" s="3">
        <v>1</v>
      </c>
      <c r="AO56" s="3">
        <v>1</v>
      </c>
      <c r="AP56" s="3">
        <v>1</v>
      </c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 x14ac:dyDescent="0.3">
      <c r="A57" s="3" t="s">
        <v>337</v>
      </c>
      <c r="B57" s="62">
        <v>12</v>
      </c>
      <c r="C57" s="64"/>
      <c r="D57" s="3" t="s">
        <v>22</v>
      </c>
      <c r="E57" s="3">
        <v>1</v>
      </c>
      <c r="F57" s="3">
        <v>1</v>
      </c>
      <c r="G57" s="3"/>
      <c r="H57" s="3"/>
      <c r="I57" s="3">
        <v>1</v>
      </c>
      <c r="J57" s="3">
        <v>1</v>
      </c>
      <c r="K57" s="3">
        <v>1</v>
      </c>
      <c r="L57" s="3">
        <v>1</v>
      </c>
      <c r="M57" s="3">
        <v>1</v>
      </c>
      <c r="N57" s="3">
        <v>1</v>
      </c>
      <c r="O57" s="3"/>
      <c r="P57" s="3">
        <v>1</v>
      </c>
      <c r="Q57" s="3">
        <v>1</v>
      </c>
      <c r="R57" s="3">
        <v>1</v>
      </c>
      <c r="S57" s="3">
        <v>1</v>
      </c>
      <c r="T57" s="3">
        <v>1</v>
      </c>
      <c r="U57" s="3">
        <v>1</v>
      </c>
      <c r="V57" s="3">
        <v>1</v>
      </c>
      <c r="W57" s="3">
        <v>1</v>
      </c>
      <c r="X57" s="3">
        <v>1</v>
      </c>
      <c r="Y57" s="3">
        <v>1</v>
      </c>
      <c r="Z57" s="3">
        <v>1</v>
      </c>
      <c r="AA57" s="3">
        <v>1</v>
      </c>
      <c r="AB57" s="3">
        <v>1</v>
      </c>
      <c r="AC57" s="3">
        <v>1</v>
      </c>
      <c r="AD57" s="3">
        <v>1</v>
      </c>
      <c r="AE57" s="3">
        <v>1</v>
      </c>
      <c r="AF57" s="3">
        <v>1</v>
      </c>
      <c r="AG57" s="3">
        <v>1</v>
      </c>
      <c r="AH57" s="3">
        <v>1</v>
      </c>
      <c r="AI57" s="3">
        <v>1</v>
      </c>
      <c r="AJ57" s="3">
        <v>1</v>
      </c>
      <c r="AK57" s="3">
        <v>1</v>
      </c>
      <c r="AL57" s="3"/>
      <c r="AM57" s="3">
        <v>1</v>
      </c>
      <c r="AN57" s="3">
        <v>1</v>
      </c>
      <c r="AO57" s="3">
        <v>1</v>
      </c>
      <c r="AP57" s="3">
        <v>1</v>
      </c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 x14ac:dyDescent="0.3">
      <c r="A58" s="3" t="s">
        <v>337</v>
      </c>
      <c r="B58" s="62">
        <v>12</v>
      </c>
      <c r="C58" s="64"/>
      <c r="D58" s="3" t="s">
        <v>289</v>
      </c>
      <c r="E58" s="3">
        <v>1</v>
      </c>
      <c r="F58" s="3">
        <v>1</v>
      </c>
      <c r="G58" s="3"/>
      <c r="H58" s="3"/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/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/>
      <c r="AM58" s="3">
        <v>1</v>
      </c>
      <c r="AN58" s="3">
        <v>1</v>
      </c>
      <c r="AO58" s="3">
        <v>1</v>
      </c>
      <c r="AP58" s="3">
        <v>1</v>
      </c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 x14ac:dyDescent="0.3">
      <c r="A59" s="3" t="s">
        <v>337</v>
      </c>
      <c r="B59" s="62">
        <v>12</v>
      </c>
      <c r="C59" s="64"/>
      <c r="D59" s="3" t="s">
        <v>60</v>
      </c>
      <c r="E59" s="3">
        <v>1</v>
      </c>
      <c r="F59" s="3">
        <v>1</v>
      </c>
      <c r="G59" s="3"/>
      <c r="H59" s="3"/>
      <c r="I59" s="3">
        <v>1</v>
      </c>
      <c r="J59" s="3">
        <v>1</v>
      </c>
      <c r="K59" s="3">
        <v>1</v>
      </c>
      <c r="L59" s="3">
        <v>1</v>
      </c>
      <c r="M59" s="3">
        <v>1</v>
      </c>
      <c r="N59" s="3">
        <v>1</v>
      </c>
      <c r="O59" s="3"/>
      <c r="P59" s="3">
        <v>1</v>
      </c>
      <c r="Q59" s="3">
        <v>1</v>
      </c>
      <c r="R59" s="3">
        <v>1</v>
      </c>
      <c r="S59" s="3">
        <v>1</v>
      </c>
      <c r="T59" s="3">
        <v>1</v>
      </c>
      <c r="U59" s="3">
        <v>1</v>
      </c>
      <c r="V59" s="3">
        <v>1</v>
      </c>
      <c r="W59" s="3">
        <v>1</v>
      </c>
      <c r="X59" s="3">
        <v>1</v>
      </c>
      <c r="Y59" s="3">
        <v>1</v>
      </c>
      <c r="Z59" s="3">
        <v>1</v>
      </c>
      <c r="AA59" s="3">
        <v>1</v>
      </c>
      <c r="AB59" s="3">
        <v>1</v>
      </c>
      <c r="AC59" s="3">
        <v>1</v>
      </c>
      <c r="AD59" s="3"/>
      <c r="AE59" s="3">
        <v>1</v>
      </c>
      <c r="AF59" s="3">
        <v>1</v>
      </c>
      <c r="AG59" s="3">
        <v>1</v>
      </c>
      <c r="AH59" s="3">
        <v>1</v>
      </c>
      <c r="AI59" s="3">
        <v>1</v>
      </c>
      <c r="AJ59" s="3">
        <v>1</v>
      </c>
      <c r="AK59" s="3">
        <v>1</v>
      </c>
      <c r="AL59" s="3"/>
      <c r="AM59" s="3">
        <v>1</v>
      </c>
      <c r="AN59" s="3">
        <v>1</v>
      </c>
      <c r="AO59" s="3">
        <v>1</v>
      </c>
      <c r="AP59" s="3">
        <v>1</v>
      </c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 x14ac:dyDescent="0.3">
      <c r="A60" s="3" t="s">
        <v>337</v>
      </c>
      <c r="B60" s="62">
        <v>12</v>
      </c>
      <c r="C60" s="64"/>
      <c r="D60" s="3" t="s">
        <v>269</v>
      </c>
      <c r="E60" s="3">
        <v>1</v>
      </c>
      <c r="F60" s="3">
        <v>1</v>
      </c>
      <c r="G60" s="3"/>
      <c r="H60" s="3"/>
      <c r="I60" s="3">
        <v>1</v>
      </c>
      <c r="J60" s="3">
        <v>1</v>
      </c>
      <c r="K60" s="3">
        <v>1</v>
      </c>
      <c r="L60" s="3">
        <v>1</v>
      </c>
      <c r="M60" s="3">
        <v>1</v>
      </c>
      <c r="N60" s="3">
        <v>1</v>
      </c>
      <c r="O60" s="3"/>
      <c r="P60" s="3">
        <v>1</v>
      </c>
      <c r="Q60" s="3">
        <v>1</v>
      </c>
      <c r="R60" s="3">
        <v>1</v>
      </c>
      <c r="S60" s="3">
        <v>1</v>
      </c>
      <c r="T60" s="3">
        <v>1</v>
      </c>
      <c r="U60" s="3">
        <v>1</v>
      </c>
      <c r="V60" s="3">
        <v>1</v>
      </c>
      <c r="W60" s="3"/>
      <c r="X60" s="3"/>
      <c r="Y60" s="3">
        <v>1</v>
      </c>
      <c r="Z60" s="3">
        <v>1</v>
      </c>
      <c r="AA60" s="3">
        <v>1</v>
      </c>
      <c r="AB60" s="3"/>
      <c r="AC60" s="3">
        <v>1</v>
      </c>
      <c r="AD60" s="3"/>
      <c r="AE60" s="3"/>
      <c r="AF60" s="3">
        <v>1</v>
      </c>
      <c r="AG60" s="3">
        <v>1</v>
      </c>
      <c r="AH60" s="3">
        <v>1</v>
      </c>
      <c r="AI60" s="3">
        <v>1</v>
      </c>
      <c r="AJ60" s="3">
        <v>1</v>
      </c>
      <c r="AK60" s="3">
        <v>1</v>
      </c>
      <c r="AL60" s="3"/>
      <c r="AM60" s="3"/>
      <c r="AN60" s="3">
        <v>1</v>
      </c>
      <c r="AO60" s="3">
        <v>1</v>
      </c>
      <c r="AP60" s="3">
        <v>1</v>
      </c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 x14ac:dyDescent="0.3">
      <c r="A61" s="3" t="s">
        <v>337</v>
      </c>
      <c r="B61" s="62">
        <v>12</v>
      </c>
      <c r="C61" s="64"/>
      <c r="D61" s="3" t="s">
        <v>188</v>
      </c>
      <c r="E61" s="3">
        <v>1</v>
      </c>
      <c r="F61" s="3">
        <v>1</v>
      </c>
      <c r="G61" s="3"/>
      <c r="H61" s="3"/>
      <c r="I61" s="3">
        <v>1</v>
      </c>
      <c r="J61" s="3">
        <v>1</v>
      </c>
      <c r="K61" s="3"/>
      <c r="L61" s="3">
        <v>1</v>
      </c>
      <c r="M61" s="3">
        <v>1</v>
      </c>
      <c r="N61" s="3">
        <v>1</v>
      </c>
      <c r="O61" s="3"/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">
        <v>1</v>
      </c>
      <c r="X61" s="3">
        <v>1</v>
      </c>
      <c r="Y61" s="3">
        <v>1</v>
      </c>
      <c r="Z61" s="3">
        <v>1</v>
      </c>
      <c r="AA61" s="3">
        <v>1</v>
      </c>
      <c r="AB61" s="3">
        <v>1</v>
      </c>
      <c r="AC61" s="3">
        <v>1</v>
      </c>
      <c r="AD61" s="3">
        <v>1</v>
      </c>
      <c r="AE61" s="3">
        <v>1</v>
      </c>
      <c r="AF61" s="3">
        <v>1</v>
      </c>
      <c r="AG61" s="3">
        <v>1</v>
      </c>
      <c r="AH61" s="3">
        <v>1</v>
      </c>
      <c r="AI61" s="3">
        <v>1</v>
      </c>
      <c r="AJ61" s="3">
        <v>1</v>
      </c>
      <c r="AK61" s="3">
        <v>1</v>
      </c>
      <c r="AL61" s="3"/>
      <c r="AM61" s="3">
        <v>1</v>
      </c>
      <c r="AN61" s="3">
        <v>1</v>
      </c>
      <c r="AO61" s="3">
        <v>1</v>
      </c>
      <c r="AP61" s="3">
        <v>1</v>
      </c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 x14ac:dyDescent="0.3">
      <c r="A62" s="3" t="s">
        <v>337</v>
      </c>
      <c r="B62" s="62">
        <v>12</v>
      </c>
      <c r="C62" s="64"/>
      <c r="D62" s="3" t="s">
        <v>175</v>
      </c>
      <c r="E62" s="3"/>
      <c r="F62" s="3">
        <v>1</v>
      </c>
      <c r="G62" s="3"/>
      <c r="H62" s="3"/>
      <c r="I62" s="3">
        <v>1</v>
      </c>
      <c r="J62" s="3">
        <v>1</v>
      </c>
      <c r="K62" s="3">
        <v>1</v>
      </c>
      <c r="L62" s="3">
        <v>1</v>
      </c>
      <c r="M62" s="3">
        <v>1</v>
      </c>
      <c r="N62" s="3"/>
      <c r="O62" s="3"/>
      <c r="P62" s="3">
        <v>1</v>
      </c>
      <c r="Q62" s="3">
        <v>1</v>
      </c>
      <c r="R62" s="3">
        <v>1</v>
      </c>
      <c r="S62" s="3">
        <v>1</v>
      </c>
      <c r="T62" s="3">
        <v>1</v>
      </c>
      <c r="U62" s="3">
        <v>1</v>
      </c>
      <c r="V62" s="3">
        <v>1</v>
      </c>
      <c r="W62" s="3">
        <v>1</v>
      </c>
      <c r="X62" s="3">
        <v>1</v>
      </c>
      <c r="Y62" s="3">
        <v>1</v>
      </c>
      <c r="Z62" s="3">
        <v>1</v>
      </c>
      <c r="AA62" s="3"/>
      <c r="AB62" s="3">
        <v>1</v>
      </c>
      <c r="AC62" s="3"/>
      <c r="AD62" s="3">
        <v>1</v>
      </c>
      <c r="AE62" s="3">
        <v>1</v>
      </c>
      <c r="AF62" s="3">
        <v>1</v>
      </c>
      <c r="AG62" s="3"/>
      <c r="AH62" s="3">
        <v>1</v>
      </c>
      <c r="AI62" s="3"/>
      <c r="AJ62" s="3">
        <v>1</v>
      </c>
      <c r="AK62" s="3">
        <v>1</v>
      </c>
      <c r="AL62" s="3"/>
      <c r="AM62" s="3">
        <v>1</v>
      </c>
      <c r="AN62" s="3">
        <v>1</v>
      </c>
      <c r="AO62" s="3"/>
      <c r="AP62" s="3">
        <v>1</v>
      </c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 x14ac:dyDescent="0.3">
      <c r="A63" s="3" t="s">
        <v>337</v>
      </c>
      <c r="B63" s="62">
        <v>12</v>
      </c>
      <c r="C63" s="64"/>
      <c r="D63" s="3" t="s">
        <v>248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 x14ac:dyDescent="0.3">
      <c r="A64" s="3" t="s">
        <v>337</v>
      </c>
      <c r="B64" s="62">
        <v>12</v>
      </c>
      <c r="C64" s="64"/>
      <c r="D64" s="3" t="s">
        <v>63</v>
      </c>
      <c r="E64" s="3">
        <v>1</v>
      </c>
      <c r="F64" s="3"/>
      <c r="G64" s="3"/>
      <c r="H64" s="3"/>
      <c r="I64" s="3">
        <v>1</v>
      </c>
      <c r="J64" s="3">
        <v>1</v>
      </c>
      <c r="K64" s="3">
        <v>1</v>
      </c>
      <c r="L64" s="3">
        <v>1</v>
      </c>
      <c r="M64" s="3">
        <v>1</v>
      </c>
      <c r="N64" s="3">
        <v>1</v>
      </c>
      <c r="O64" s="3"/>
      <c r="P64" s="3">
        <v>1</v>
      </c>
      <c r="Q64" s="3"/>
      <c r="R64" s="3">
        <v>1</v>
      </c>
      <c r="S64" s="3">
        <v>1</v>
      </c>
      <c r="T64" s="3">
        <v>1</v>
      </c>
      <c r="U64" s="3">
        <v>1</v>
      </c>
      <c r="V64" s="3"/>
      <c r="W64" s="3"/>
      <c r="X64" s="3"/>
      <c r="Y64" s="3">
        <v>1</v>
      </c>
      <c r="Z64" s="3"/>
      <c r="AA64" s="3"/>
      <c r="AB64" s="3"/>
      <c r="AC64" s="3">
        <v>1</v>
      </c>
      <c r="AD64" s="3"/>
      <c r="AE64" s="3"/>
      <c r="AF64" s="3">
        <v>1</v>
      </c>
      <c r="AG64" s="3">
        <v>1</v>
      </c>
      <c r="AH64" s="3">
        <v>1</v>
      </c>
      <c r="AI64" s="3">
        <v>1</v>
      </c>
      <c r="AJ64" s="3">
        <v>1</v>
      </c>
      <c r="AK64" s="3">
        <v>1</v>
      </c>
      <c r="AL64" s="3"/>
      <c r="AM64" s="3"/>
      <c r="AN64" s="3">
        <v>1</v>
      </c>
      <c r="AO64" s="3">
        <v>1</v>
      </c>
      <c r="AP64" s="3">
        <v>1</v>
      </c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 x14ac:dyDescent="0.3">
      <c r="A65" s="3" t="s">
        <v>337</v>
      </c>
      <c r="B65" s="62">
        <v>12</v>
      </c>
      <c r="C65" s="64"/>
      <c r="D65" s="3" t="s">
        <v>216</v>
      </c>
      <c r="E65" s="3">
        <v>1</v>
      </c>
      <c r="F65" s="3">
        <v>1</v>
      </c>
      <c r="G65" s="3"/>
      <c r="H65" s="3"/>
      <c r="I65" s="3">
        <v>1</v>
      </c>
      <c r="J65" s="3">
        <v>1</v>
      </c>
      <c r="K65" s="3">
        <v>1</v>
      </c>
      <c r="L65" s="3">
        <v>1</v>
      </c>
      <c r="M65" s="3">
        <v>1</v>
      </c>
      <c r="N65" s="3">
        <v>1</v>
      </c>
      <c r="O65" s="3"/>
      <c r="P65" s="3">
        <v>1</v>
      </c>
      <c r="Q65" s="3">
        <v>1</v>
      </c>
      <c r="R65" s="3"/>
      <c r="S65" s="3">
        <v>1</v>
      </c>
      <c r="T65" s="3"/>
      <c r="U65" s="3">
        <v>1</v>
      </c>
      <c r="V65" s="3">
        <v>1</v>
      </c>
      <c r="W65" s="3">
        <v>1</v>
      </c>
      <c r="X65" s="3">
        <v>1</v>
      </c>
      <c r="Y65" s="3">
        <v>1</v>
      </c>
      <c r="Z65" s="3">
        <v>1</v>
      </c>
      <c r="AA65" s="3">
        <v>1</v>
      </c>
      <c r="AB65" s="3">
        <v>1</v>
      </c>
      <c r="AC65" s="3">
        <v>1</v>
      </c>
      <c r="AD65" s="3"/>
      <c r="AE65" s="3">
        <v>1</v>
      </c>
      <c r="AF65" s="3">
        <v>1</v>
      </c>
      <c r="AG65" s="3">
        <v>1</v>
      </c>
      <c r="AH65" s="3">
        <v>1</v>
      </c>
      <c r="AI65" s="3"/>
      <c r="AJ65" s="3">
        <v>1</v>
      </c>
      <c r="AK65" s="3">
        <v>1</v>
      </c>
      <c r="AL65" s="3"/>
      <c r="AM65" s="3">
        <v>1</v>
      </c>
      <c r="AN65" s="3">
        <v>1</v>
      </c>
      <c r="AO65" s="3">
        <v>1</v>
      </c>
      <c r="AP65" s="3">
        <v>1</v>
      </c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 x14ac:dyDescent="0.3">
      <c r="A66" s="3" t="s">
        <v>337</v>
      </c>
      <c r="B66" s="62">
        <v>12</v>
      </c>
      <c r="C66" s="64"/>
      <c r="D66" s="3" t="s">
        <v>230</v>
      </c>
      <c r="E66" s="3">
        <v>1</v>
      </c>
      <c r="F66" s="3">
        <v>1</v>
      </c>
      <c r="G66" s="3"/>
      <c r="H66" s="3"/>
      <c r="I66" s="3">
        <v>1</v>
      </c>
      <c r="J66" s="3">
        <v>1</v>
      </c>
      <c r="K66" s="3">
        <v>1</v>
      </c>
      <c r="L66" s="3">
        <v>1</v>
      </c>
      <c r="M66" s="3">
        <v>1</v>
      </c>
      <c r="N66" s="3">
        <v>1</v>
      </c>
      <c r="O66" s="3"/>
      <c r="P66" s="3">
        <v>1</v>
      </c>
      <c r="Q66" s="3">
        <v>1</v>
      </c>
      <c r="R66" s="3"/>
      <c r="S66" s="3">
        <v>1</v>
      </c>
      <c r="T66" s="3">
        <v>1</v>
      </c>
      <c r="U66" s="3">
        <v>1</v>
      </c>
      <c r="V66" s="3">
        <v>1</v>
      </c>
      <c r="W66" s="3">
        <v>1</v>
      </c>
      <c r="X66" s="3">
        <v>1</v>
      </c>
      <c r="Y66" s="3">
        <v>1</v>
      </c>
      <c r="Z66" s="3">
        <v>1</v>
      </c>
      <c r="AA66" s="3">
        <v>1</v>
      </c>
      <c r="AB66" s="3">
        <v>1</v>
      </c>
      <c r="AC66" s="3">
        <v>1</v>
      </c>
      <c r="AD66" s="3">
        <v>1</v>
      </c>
      <c r="AE66" s="3">
        <v>1</v>
      </c>
      <c r="AF66" s="3">
        <v>1</v>
      </c>
      <c r="AG66" s="3"/>
      <c r="AH66" s="3">
        <v>1</v>
      </c>
      <c r="AI66" s="3">
        <v>1</v>
      </c>
      <c r="AJ66" s="3">
        <v>1</v>
      </c>
      <c r="AK66" s="3">
        <v>1</v>
      </c>
      <c r="AL66" s="3"/>
      <c r="AM66" s="3">
        <v>1</v>
      </c>
      <c r="AN66" s="3">
        <v>1</v>
      </c>
      <c r="AO66" s="3">
        <v>1</v>
      </c>
      <c r="AP66" s="3">
        <v>1</v>
      </c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 x14ac:dyDescent="0.3">
      <c r="A67" s="3" t="s">
        <v>337</v>
      </c>
      <c r="B67" s="62">
        <v>12</v>
      </c>
      <c r="C67" s="64"/>
      <c r="D67" s="3" t="s">
        <v>263</v>
      </c>
      <c r="E67" s="3">
        <v>1</v>
      </c>
      <c r="F67" s="3">
        <v>1</v>
      </c>
      <c r="G67" s="3"/>
      <c r="H67" s="3"/>
      <c r="I67" s="3">
        <v>1</v>
      </c>
      <c r="J67" s="3">
        <v>1</v>
      </c>
      <c r="K67" s="3">
        <v>1</v>
      </c>
      <c r="L67" s="3">
        <v>1</v>
      </c>
      <c r="M67" s="3">
        <v>1</v>
      </c>
      <c r="N67" s="3">
        <v>1</v>
      </c>
      <c r="O67" s="3"/>
      <c r="P67" s="3">
        <v>1</v>
      </c>
      <c r="Q67" s="3">
        <v>1</v>
      </c>
      <c r="R67" s="3">
        <v>1</v>
      </c>
      <c r="S67" s="3">
        <v>1</v>
      </c>
      <c r="T67" s="3">
        <v>1</v>
      </c>
      <c r="U67" s="3">
        <v>1</v>
      </c>
      <c r="V67" s="3">
        <v>1</v>
      </c>
      <c r="W67" s="3">
        <v>1</v>
      </c>
      <c r="X67" s="3">
        <v>1</v>
      </c>
      <c r="Y67" s="3">
        <v>1</v>
      </c>
      <c r="Z67" s="3">
        <v>1</v>
      </c>
      <c r="AA67" s="3">
        <v>1</v>
      </c>
      <c r="AB67" s="3">
        <v>1</v>
      </c>
      <c r="AC67" s="3">
        <v>1</v>
      </c>
      <c r="AD67" s="3">
        <v>1</v>
      </c>
      <c r="AE67" s="3">
        <v>1</v>
      </c>
      <c r="AF67" s="3">
        <v>1</v>
      </c>
      <c r="AG67" s="3">
        <v>1</v>
      </c>
      <c r="AH67" s="3">
        <v>1</v>
      </c>
      <c r="AI67" s="3">
        <v>1</v>
      </c>
      <c r="AJ67" s="3">
        <v>1</v>
      </c>
      <c r="AK67" s="3">
        <v>1</v>
      </c>
      <c r="AL67" s="3"/>
      <c r="AM67" s="3">
        <v>1</v>
      </c>
      <c r="AN67" s="3">
        <v>1</v>
      </c>
      <c r="AO67" s="3">
        <v>1</v>
      </c>
      <c r="AP67" s="3">
        <v>1</v>
      </c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 x14ac:dyDescent="0.3">
      <c r="A68" s="3" t="s">
        <v>337</v>
      </c>
      <c r="B68" s="62">
        <v>12</v>
      </c>
      <c r="C68" s="64"/>
      <c r="D68" s="3" t="s">
        <v>227</v>
      </c>
      <c r="E68" s="3">
        <v>1</v>
      </c>
      <c r="F68" s="3">
        <v>1</v>
      </c>
      <c r="G68" s="3"/>
      <c r="H68" s="3"/>
      <c r="I68" s="3">
        <v>1</v>
      </c>
      <c r="J68" s="3">
        <v>1</v>
      </c>
      <c r="K68" s="3">
        <v>1</v>
      </c>
      <c r="L68" s="3">
        <v>1</v>
      </c>
      <c r="M68" s="3">
        <v>1</v>
      </c>
      <c r="N68" s="3">
        <v>1</v>
      </c>
      <c r="O68" s="3"/>
      <c r="P68" s="3">
        <v>1</v>
      </c>
      <c r="Q68" s="3">
        <v>1</v>
      </c>
      <c r="R68" s="3">
        <v>1</v>
      </c>
      <c r="S68" s="3">
        <v>1</v>
      </c>
      <c r="T68" s="3">
        <v>1</v>
      </c>
      <c r="U68" s="3">
        <v>1</v>
      </c>
      <c r="V68" s="3">
        <v>1</v>
      </c>
      <c r="W68" s="3">
        <v>1</v>
      </c>
      <c r="X68" s="3">
        <v>1</v>
      </c>
      <c r="Y68" s="3">
        <v>1</v>
      </c>
      <c r="Z68" s="3">
        <v>1</v>
      </c>
      <c r="AA68" s="3">
        <v>1</v>
      </c>
      <c r="AB68" s="3">
        <v>1</v>
      </c>
      <c r="AC68" s="3">
        <v>1</v>
      </c>
      <c r="AD68" s="3">
        <v>1</v>
      </c>
      <c r="AE68" s="3">
        <v>1</v>
      </c>
      <c r="AF68" s="3">
        <v>1</v>
      </c>
      <c r="AG68" s="3">
        <v>1</v>
      </c>
      <c r="AH68" s="3">
        <v>1</v>
      </c>
      <c r="AI68" s="3">
        <v>1</v>
      </c>
      <c r="AJ68" s="3">
        <v>1</v>
      </c>
      <c r="AK68" s="3">
        <v>1</v>
      </c>
      <c r="AL68" s="3"/>
      <c r="AM68" s="3">
        <v>1</v>
      </c>
      <c r="AN68" s="3">
        <v>1</v>
      </c>
      <c r="AO68" s="3">
        <v>1</v>
      </c>
      <c r="AP68" s="3">
        <v>1</v>
      </c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 x14ac:dyDescent="0.3">
      <c r="A69" s="3" t="s">
        <v>337</v>
      </c>
      <c r="B69" s="62">
        <v>12</v>
      </c>
      <c r="C69" s="64"/>
      <c r="D69" s="3" t="s">
        <v>251</v>
      </c>
      <c r="E69" s="3">
        <v>1</v>
      </c>
      <c r="F69" s="3">
        <v>1</v>
      </c>
      <c r="G69" s="3"/>
      <c r="H69" s="3"/>
      <c r="I69" s="3">
        <v>1</v>
      </c>
      <c r="J69" s="3">
        <v>1</v>
      </c>
      <c r="K69" s="3">
        <v>1</v>
      </c>
      <c r="L69" s="3">
        <v>1</v>
      </c>
      <c r="M69" s="3">
        <v>1</v>
      </c>
      <c r="N69" s="3">
        <v>1</v>
      </c>
      <c r="O69" s="3"/>
      <c r="P69" s="3">
        <v>1</v>
      </c>
      <c r="Q69" s="3">
        <v>1</v>
      </c>
      <c r="R69" s="3">
        <v>1</v>
      </c>
      <c r="S69" s="3">
        <v>1</v>
      </c>
      <c r="T69" s="3">
        <v>1</v>
      </c>
      <c r="U69" s="3">
        <v>1</v>
      </c>
      <c r="V69" s="3">
        <v>1</v>
      </c>
      <c r="W69" s="3">
        <v>1</v>
      </c>
      <c r="X69" s="3">
        <v>1</v>
      </c>
      <c r="Y69" s="3">
        <v>1</v>
      </c>
      <c r="Z69" s="3">
        <v>1</v>
      </c>
      <c r="AA69" s="3">
        <v>1</v>
      </c>
      <c r="AB69" s="3">
        <v>1</v>
      </c>
      <c r="AC69" s="3">
        <v>1</v>
      </c>
      <c r="AD69" s="3">
        <v>1</v>
      </c>
      <c r="AE69" s="3">
        <v>1</v>
      </c>
      <c r="AF69" s="3">
        <v>1</v>
      </c>
      <c r="AG69" s="3">
        <v>1</v>
      </c>
      <c r="AH69" s="3">
        <v>1</v>
      </c>
      <c r="AI69" s="3">
        <v>1</v>
      </c>
      <c r="AJ69" s="3">
        <v>1</v>
      </c>
      <c r="AK69" s="3">
        <v>1</v>
      </c>
      <c r="AL69" s="3"/>
      <c r="AM69" s="3">
        <v>1</v>
      </c>
      <c r="AN69" s="3">
        <v>1</v>
      </c>
      <c r="AO69" s="3">
        <v>1</v>
      </c>
      <c r="AP69" s="3">
        <v>1</v>
      </c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 x14ac:dyDescent="0.3">
      <c r="A70" s="3" t="s">
        <v>337</v>
      </c>
      <c r="B70" s="62">
        <v>12</v>
      </c>
      <c r="C70" s="64"/>
      <c r="D70" s="3" t="s">
        <v>28</v>
      </c>
      <c r="E70" s="3">
        <v>1</v>
      </c>
      <c r="F70" s="3"/>
      <c r="G70" s="3"/>
      <c r="H70" s="3"/>
      <c r="I70" s="3">
        <v>1</v>
      </c>
      <c r="J70" s="3">
        <v>1</v>
      </c>
      <c r="K70" s="3"/>
      <c r="L70" s="3">
        <v>1</v>
      </c>
      <c r="M70" s="3"/>
      <c r="N70" s="3">
        <v>1</v>
      </c>
      <c r="O70" s="3"/>
      <c r="P70" s="3"/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/>
      <c r="W70" s="3">
        <v>1</v>
      </c>
      <c r="X70" s="3"/>
      <c r="Y70" s="3"/>
      <c r="Z70" s="3">
        <v>1</v>
      </c>
      <c r="AA70" s="3"/>
      <c r="AB70" s="3">
        <v>1</v>
      </c>
      <c r="AC70" s="3"/>
      <c r="AD70" s="3">
        <v>1</v>
      </c>
      <c r="AE70" s="3">
        <v>1</v>
      </c>
      <c r="AF70" s="3">
        <v>1</v>
      </c>
      <c r="AG70" s="3">
        <v>1</v>
      </c>
      <c r="AH70" s="3"/>
      <c r="AI70" s="3">
        <v>1</v>
      </c>
      <c r="AJ70" s="3">
        <v>1</v>
      </c>
      <c r="AK70" s="3">
        <v>1</v>
      </c>
      <c r="AL70" s="3"/>
      <c r="AM70" s="3">
        <v>1</v>
      </c>
      <c r="AN70" s="3">
        <v>1</v>
      </c>
      <c r="AO70" s="3"/>
      <c r="AP70" s="3">
        <v>1</v>
      </c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 x14ac:dyDescent="0.3">
      <c r="A71" s="3" t="s">
        <v>337</v>
      </c>
      <c r="B71" s="62">
        <v>12</v>
      </c>
      <c r="C71" s="64"/>
      <c r="D71" s="3" t="s">
        <v>306</v>
      </c>
      <c r="E71" s="3">
        <v>1</v>
      </c>
      <c r="F71" s="3">
        <v>1</v>
      </c>
      <c r="G71" s="3"/>
      <c r="H71" s="3"/>
      <c r="I71" s="3"/>
      <c r="J71" s="3">
        <v>1</v>
      </c>
      <c r="K71" s="3">
        <v>1</v>
      </c>
      <c r="L71" s="3">
        <v>1</v>
      </c>
      <c r="M71" s="3">
        <v>1</v>
      </c>
      <c r="N71" s="3">
        <v>1</v>
      </c>
      <c r="O71" s="3"/>
      <c r="P71" s="3">
        <v>1</v>
      </c>
      <c r="Q71" s="3"/>
      <c r="R71" s="3">
        <v>1</v>
      </c>
      <c r="S71" s="3">
        <v>1</v>
      </c>
      <c r="T71" s="3">
        <v>1</v>
      </c>
      <c r="U71" s="3">
        <v>1</v>
      </c>
      <c r="V71" s="3"/>
      <c r="W71" s="3">
        <v>1</v>
      </c>
      <c r="X71" s="3">
        <v>1</v>
      </c>
      <c r="Y71" s="3">
        <v>1</v>
      </c>
      <c r="Z71" s="3">
        <v>1</v>
      </c>
      <c r="AA71" s="3">
        <v>1</v>
      </c>
      <c r="AB71" s="3">
        <v>1</v>
      </c>
      <c r="AC71" s="3">
        <v>1</v>
      </c>
      <c r="AD71" s="3">
        <v>1</v>
      </c>
      <c r="AE71" s="3">
        <v>1</v>
      </c>
      <c r="AF71" s="3">
        <v>1</v>
      </c>
      <c r="AG71" s="3">
        <v>1</v>
      </c>
      <c r="AH71" s="3">
        <v>1</v>
      </c>
      <c r="AI71" s="3">
        <v>1</v>
      </c>
      <c r="AJ71" s="3">
        <v>1</v>
      </c>
      <c r="AK71" s="3">
        <v>1</v>
      </c>
      <c r="AL71" s="3"/>
      <c r="AM71" s="3">
        <v>1</v>
      </c>
      <c r="AN71" s="3">
        <v>1</v>
      </c>
      <c r="AO71" s="3">
        <v>1</v>
      </c>
      <c r="AP71" s="3">
        <v>1</v>
      </c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 x14ac:dyDescent="0.3">
      <c r="A72" s="3" t="s">
        <v>337</v>
      </c>
      <c r="B72" s="62">
        <v>12</v>
      </c>
      <c r="C72" s="64"/>
      <c r="D72" s="3" t="s">
        <v>240</v>
      </c>
      <c r="E72" s="3">
        <v>1</v>
      </c>
      <c r="F72" s="3">
        <v>1</v>
      </c>
      <c r="G72" s="3"/>
      <c r="H72" s="3"/>
      <c r="I72" s="3">
        <v>1</v>
      </c>
      <c r="J72" s="3">
        <v>1</v>
      </c>
      <c r="K72" s="3">
        <v>1</v>
      </c>
      <c r="L72" s="3">
        <v>1</v>
      </c>
      <c r="M72" s="3">
        <v>1</v>
      </c>
      <c r="N72" s="3">
        <v>1</v>
      </c>
      <c r="O72" s="3"/>
      <c r="P72" s="3">
        <v>1</v>
      </c>
      <c r="Q72" s="3">
        <v>1</v>
      </c>
      <c r="R72" s="3">
        <v>1</v>
      </c>
      <c r="S72" s="3">
        <v>1</v>
      </c>
      <c r="T72" s="3">
        <v>1</v>
      </c>
      <c r="U72" s="3">
        <v>1</v>
      </c>
      <c r="V72" s="3">
        <v>1</v>
      </c>
      <c r="W72" s="3">
        <v>1</v>
      </c>
      <c r="X72" s="3">
        <v>1</v>
      </c>
      <c r="Y72" s="3">
        <v>1</v>
      </c>
      <c r="Z72" s="3">
        <v>1</v>
      </c>
      <c r="AA72" s="3">
        <v>1</v>
      </c>
      <c r="AB72" s="3">
        <v>1</v>
      </c>
      <c r="AC72" s="3">
        <v>1</v>
      </c>
      <c r="AD72" s="3">
        <v>1</v>
      </c>
      <c r="AE72" s="3">
        <v>1</v>
      </c>
      <c r="AF72" s="3">
        <v>1</v>
      </c>
      <c r="AG72" s="3">
        <v>1</v>
      </c>
      <c r="AH72" s="3">
        <v>1</v>
      </c>
      <c r="AI72" s="3">
        <v>1</v>
      </c>
      <c r="AJ72" s="3">
        <v>1</v>
      </c>
      <c r="AK72" s="3">
        <v>1</v>
      </c>
      <c r="AL72" s="3"/>
      <c r="AM72" s="3">
        <v>1</v>
      </c>
      <c r="AN72" s="3">
        <v>1</v>
      </c>
      <c r="AO72" s="3">
        <v>1</v>
      </c>
      <c r="AP72" s="3">
        <v>1</v>
      </c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 x14ac:dyDescent="0.3">
      <c r="A73" s="3" t="s">
        <v>337</v>
      </c>
      <c r="B73" s="62">
        <v>12</v>
      </c>
      <c r="C73" s="64"/>
      <c r="D73" s="3" t="s">
        <v>234</v>
      </c>
      <c r="E73" s="3">
        <v>1</v>
      </c>
      <c r="F73" s="3">
        <v>1</v>
      </c>
      <c r="G73" s="3"/>
      <c r="H73" s="3"/>
      <c r="I73" s="3">
        <v>1</v>
      </c>
      <c r="J73" s="3">
        <v>1</v>
      </c>
      <c r="K73" s="3">
        <v>1</v>
      </c>
      <c r="L73" s="3">
        <v>1</v>
      </c>
      <c r="M73" s="3">
        <v>1</v>
      </c>
      <c r="N73" s="3">
        <v>1</v>
      </c>
      <c r="O73" s="3"/>
      <c r="P73" s="3">
        <v>1</v>
      </c>
      <c r="Q73" s="3">
        <v>1</v>
      </c>
      <c r="R73" s="3">
        <v>1</v>
      </c>
      <c r="S73" s="3">
        <v>1</v>
      </c>
      <c r="T73" s="3">
        <v>1</v>
      </c>
      <c r="U73" s="3">
        <v>1</v>
      </c>
      <c r="V73" s="3">
        <v>1</v>
      </c>
      <c r="W73" s="3">
        <v>1</v>
      </c>
      <c r="X73" s="3">
        <v>1</v>
      </c>
      <c r="Y73" s="3">
        <v>1</v>
      </c>
      <c r="Z73" s="3">
        <v>1</v>
      </c>
      <c r="AA73" s="3">
        <v>1</v>
      </c>
      <c r="AB73" s="3">
        <v>1</v>
      </c>
      <c r="AC73" s="3">
        <v>1</v>
      </c>
      <c r="AD73" s="3">
        <v>1</v>
      </c>
      <c r="AE73" s="3">
        <v>1</v>
      </c>
      <c r="AF73" s="3">
        <v>1</v>
      </c>
      <c r="AG73" s="3">
        <v>1</v>
      </c>
      <c r="AH73" s="3">
        <v>1</v>
      </c>
      <c r="AI73" s="3">
        <v>1</v>
      </c>
      <c r="AJ73" s="3">
        <v>1</v>
      </c>
      <c r="AK73" s="3">
        <v>1</v>
      </c>
      <c r="AL73" s="3"/>
      <c r="AM73" s="3">
        <v>1</v>
      </c>
      <c r="AN73" s="3">
        <v>1</v>
      </c>
      <c r="AO73" s="3">
        <v>1</v>
      </c>
      <c r="AP73" s="3">
        <v>1</v>
      </c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 x14ac:dyDescent="0.3">
      <c r="A74" s="3" t="s">
        <v>337</v>
      </c>
      <c r="B74" s="62">
        <v>12</v>
      </c>
      <c r="C74" s="64"/>
      <c r="D74" s="3" t="s">
        <v>235</v>
      </c>
      <c r="E74" s="3">
        <v>1</v>
      </c>
      <c r="F74" s="3">
        <v>1</v>
      </c>
      <c r="G74" s="3"/>
      <c r="H74" s="3"/>
      <c r="I74" s="3">
        <v>1</v>
      </c>
      <c r="J74" s="3">
        <v>1</v>
      </c>
      <c r="K74" s="3">
        <v>1</v>
      </c>
      <c r="L74" s="3">
        <v>1</v>
      </c>
      <c r="M74" s="3">
        <v>1</v>
      </c>
      <c r="N74" s="3">
        <v>1</v>
      </c>
      <c r="O74" s="3"/>
      <c r="P74" s="3">
        <v>1</v>
      </c>
      <c r="Q74" s="3">
        <v>1</v>
      </c>
      <c r="R74" s="3">
        <v>1</v>
      </c>
      <c r="S74" s="3">
        <v>1</v>
      </c>
      <c r="T74" s="3">
        <v>1</v>
      </c>
      <c r="U74" s="3">
        <v>1</v>
      </c>
      <c r="V74" s="3">
        <v>1</v>
      </c>
      <c r="W74" s="3">
        <v>1</v>
      </c>
      <c r="X74" s="3">
        <v>1</v>
      </c>
      <c r="Y74" s="3">
        <v>1</v>
      </c>
      <c r="Z74" s="3">
        <v>1</v>
      </c>
      <c r="AA74" s="3">
        <v>1</v>
      </c>
      <c r="AB74" s="3">
        <v>1</v>
      </c>
      <c r="AC74" s="3">
        <v>1</v>
      </c>
      <c r="AD74" s="3">
        <v>1</v>
      </c>
      <c r="AE74" s="3">
        <v>1</v>
      </c>
      <c r="AF74" s="3">
        <v>1</v>
      </c>
      <c r="AG74" s="3">
        <v>1</v>
      </c>
      <c r="AH74" s="3">
        <v>1</v>
      </c>
      <c r="AI74" s="3">
        <v>1</v>
      </c>
      <c r="AJ74" s="3">
        <v>1</v>
      </c>
      <c r="AK74" s="3">
        <v>1</v>
      </c>
      <c r="AL74" s="3"/>
      <c r="AM74" s="3">
        <v>1</v>
      </c>
      <c r="AN74" s="3">
        <v>1</v>
      </c>
      <c r="AO74" s="3">
        <v>1</v>
      </c>
      <c r="AP74" s="3">
        <v>1</v>
      </c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 x14ac:dyDescent="0.3">
      <c r="A75" s="3" t="s">
        <v>337</v>
      </c>
      <c r="B75" s="62">
        <v>12</v>
      </c>
      <c r="C75" s="64"/>
      <c r="D75" s="3" t="s">
        <v>267</v>
      </c>
      <c r="E75" s="3">
        <v>1</v>
      </c>
      <c r="F75" s="3">
        <v>1</v>
      </c>
      <c r="G75" s="3"/>
      <c r="H75" s="3"/>
      <c r="I75" s="3">
        <v>1</v>
      </c>
      <c r="J75" s="3">
        <v>1</v>
      </c>
      <c r="K75" s="3">
        <v>1</v>
      </c>
      <c r="L75" s="3">
        <v>1</v>
      </c>
      <c r="M75" s="3">
        <v>1</v>
      </c>
      <c r="N75" s="3">
        <v>1</v>
      </c>
      <c r="O75" s="3"/>
      <c r="P75" s="3">
        <v>1</v>
      </c>
      <c r="Q75" s="3">
        <v>1</v>
      </c>
      <c r="R75" s="3">
        <v>1</v>
      </c>
      <c r="S75" s="3">
        <v>1</v>
      </c>
      <c r="T75" s="3">
        <v>1</v>
      </c>
      <c r="U75" s="3">
        <v>1</v>
      </c>
      <c r="V75" s="3">
        <v>1</v>
      </c>
      <c r="W75" s="3">
        <v>1</v>
      </c>
      <c r="X75" s="3">
        <v>1</v>
      </c>
      <c r="Y75" s="3">
        <v>1</v>
      </c>
      <c r="Z75" s="3">
        <v>1</v>
      </c>
      <c r="AA75" s="3">
        <v>1</v>
      </c>
      <c r="AB75" s="3">
        <v>1</v>
      </c>
      <c r="AC75" s="3">
        <v>1</v>
      </c>
      <c r="AD75" s="3">
        <v>1</v>
      </c>
      <c r="AE75" s="3">
        <v>1</v>
      </c>
      <c r="AF75" s="3">
        <v>1</v>
      </c>
      <c r="AG75" s="3">
        <v>1</v>
      </c>
      <c r="AH75" s="3">
        <v>1</v>
      </c>
      <c r="AI75" s="3">
        <v>1</v>
      </c>
      <c r="AJ75" s="3">
        <v>1</v>
      </c>
      <c r="AK75" s="3">
        <v>1</v>
      </c>
      <c r="AL75" s="3"/>
      <c r="AM75" s="3">
        <v>1</v>
      </c>
      <c r="AN75" s="3">
        <v>1</v>
      </c>
      <c r="AO75" s="3">
        <v>1</v>
      </c>
      <c r="AP75" s="3">
        <v>1</v>
      </c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 x14ac:dyDescent="0.3">
      <c r="A76" s="3" t="s">
        <v>337</v>
      </c>
      <c r="B76" s="62">
        <v>12</v>
      </c>
      <c r="C76" s="64"/>
      <c r="D76" s="3" t="s">
        <v>231</v>
      </c>
      <c r="E76" s="3">
        <v>1</v>
      </c>
      <c r="F76" s="3">
        <v>1</v>
      </c>
      <c r="G76" s="3"/>
      <c r="H76" s="3"/>
      <c r="I76" s="3">
        <v>1</v>
      </c>
      <c r="J76" s="3">
        <v>1</v>
      </c>
      <c r="K76" s="3">
        <v>1</v>
      </c>
      <c r="L76" s="3">
        <v>1</v>
      </c>
      <c r="M76" s="3">
        <v>1</v>
      </c>
      <c r="N76" s="3">
        <v>1</v>
      </c>
      <c r="O76" s="3"/>
      <c r="P76" s="3">
        <v>1</v>
      </c>
      <c r="Q76" s="3">
        <v>1</v>
      </c>
      <c r="R76" s="3">
        <v>1</v>
      </c>
      <c r="S76" s="3">
        <v>1</v>
      </c>
      <c r="T76" s="3">
        <v>1</v>
      </c>
      <c r="U76" s="3">
        <v>1</v>
      </c>
      <c r="V76" s="3">
        <v>1</v>
      </c>
      <c r="W76" s="3">
        <v>1</v>
      </c>
      <c r="X76" s="3">
        <v>1</v>
      </c>
      <c r="Y76" s="3">
        <v>1</v>
      </c>
      <c r="Z76" s="3">
        <v>1</v>
      </c>
      <c r="AA76" s="3">
        <v>1</v>
      </c>
      <c r="AB76" s="3">
        <v>1</v>
      </c>
      <c r="AC76" s="3">
        <v>1</v>
      </c>
      <c r="AD76" s="3">
        <v>1</v>
      </c>
      <c r="AE76" s="3">
        <v>1</v>
      </c>
      <c r="AF76" s="3">
        <v>1</v>
      </c>
      <c r="AG76" s="3">
        <v>1</v>
      </c>
      <c r="AH76" s="3">
        <v>1</v>
      </c>
      <c r="AI76" s="3">
        <v>1</v>
      </c>
      <c r="AJ76" s="3">
        <v>1</v>
      </c>
      <c r="AK76" s="3">
        <v>1</v>
      </c>
      <c r="AL76" s="3"/>
      <c r="AM76" s="3">
        <v>1</v>
      </c>
      <c r="AN76" s="3">
        <v>1</v>
      </c>
      <c r="AO76" s="3">
        <v>1</v>
      </c>
      <c r="AP76" s="3">
        <v>1</v>
      </c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 x14ac:dyDescent="0.3">
      <c r="A77" s="3" t="s">
        <v>337</v>
      </c>
      <c r="B77" s="62">
        <v>12</v>
      </c>
      <c r="C77" s="64"/>
      <c r="D77" s="3" t="s">
        <v>245</v>
      </c>
      <c r="E77" s="3">
        <v>1</v>
      </c>
      <c r="F77" s="3">
        <v>1</v>
      </c>
      <c r="G77" s="3"/>
      <c r="H77" s="3"/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1</v>
      </c>
      <c r="O77" s="3"/>
      <c r="P77" s="3">
        <v>1</v>
      </c>
      <c r="Q77" s="3">
        <v>1</v>
      </c>
      <c r="R77" s="3">
        <v>1</v>
      </c>
      <c r="S77" s="3">
        <v>1</v>
      </c>
      <c r="T77" s="3">
        <v>1</v>
      </c>
      <c r="U77" s="3">
        <v>1</v>
      </c>
      <c r="V77" s="3">
        <v>1</v>
      </c>
      <c r="W77" s="3">
        <v>1</v>
      </c>
      <c r="X77" s="3">
        <v>1</v>
      </c>
      <c r="Y77" s="3">
        <v>1</v>
      </c>
      <c r="Z77" s="3">
        <v>1</v>
      </c>
      <c r="AA77" s="3">
        <v>1</v>
      </c>
      <c r="AB77" s="3">
        <v>1</v>
      </c>
      <c r="AC77" s="3">
        <v>1</v>
      </c>
      <c r="AD77" s="3">
        <v>1</v>
      </c>
      <c r="AE77" s="3">
        <v>1</v>
      </c>
      <c r="AF77" s="3">
        <v>1</v>
      </c>
      <c r="AG77" s="3">
        <v>1</v>
      </c>
      <c r="AH77" s="3">
        <v>1</v>
      </c>
      <c r="AI77" s="3">
        <v>1</v>
      </c>
      <c r="AJ77" s="3">
        <v>1</v>
      </c>
      <c r="AK77" s="3">
        <v>1</v>
      </c>
      <c r="AL77" s="3"/>
      <c r="AM77" s="3">
        <v>1</v>
      </c>
      <c r="AN77" s="3">
        <v>1</v>
      </c>
      <c r="AO77" s="3">
        <v>1</v>
      </c>
      <c r="AP77" s="3">
        <v>1</v>
      </c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 x14ac:dyDescent="0.3">
      <c r="A78" s="3" t="s">
        <v>337</v>
      </c>
      <c r="B78" s="62">
        <v>12</v>
      </c>
      <c r="C78" s="64"/>
      <c r="D78" s="3" t="s">
        <v>307</v>
      </c>
      <c r="E78" s="3"/>
      <c r="F78" s="3"/>
      <c r="G78" s="3"/>
      <c r="H78" s="3"/>
      <c r="I78" s="3"/>
      <c r="J78" s="3"/>
      <c r="K78" s="3">
        <v>1</v>
      </c>
      <c r="L78" s="3">
        <v>1</v>
      </c>
      <c r="M78" s="3">
        <v>1</v>
      </c>
      <c r="N78" s="3">
        <v>1</v>
      </c>
      <c r="O78" s="3"/>
      <c r="P78" s="3">
        <v>1</v>
      </c>
      <c r="Q78" s="3">
        <v>1</v>
      </c>
      <c r="R78" s="3">
        <v>1</v>
      </c>
      <c r="S78" s="3">
        <v>1</v>
      </c>
      <c r="T78" s="3">
        <v>1</v>
      </c>
      <c r="U78" s="3">
        <v>1</v>
      </c>
      <c r="V78" s="3"/>
      <c r="W78" s="3"/>
      <c r="X78" s="3">
        <v>1</v>
      </c>
      <c r="Y78" s="3">
        <v>1</v>
      </c>
      <c r="Z78" s="3">
        <v>1</v>
      </c>
      <c r="AA78" s="3">
        <v>1</v>
      </c>
      <c r="AB78" s="3">
        <v>1</v>
      </c>
      <c r="AC78" s="3">
        <v>1</v>
      </c>
      <c r="AD78" s="3">
        <v>1</v>
      </c>
      <c r="AE78" s="3">
        <v>1</v>
      </c>
      <c r="AF78" s="3">
        <v>1</v>
      </c>
      <c r="AG78" s="3">
        <v>1</v>
      </c>
      <c r="AH78" s="3">
        <v>1</v>
      </c>
      <c r="AI78" s="3">
        <v>1</v>
      </c>
      <c r="AJ78" s="3">
        <v>1</v>
      </c>
      <c r="AK78" s="3">
        <v>1</v>
      </c>
      <c r="AL78" s="3"/>
      <c r="AM78" s="3">
        <v>1</v>
      </c>
      <c r="AN78" s="3">
        <v>1</v>
      </c>
      <c r="AO78" s="3">
        <v>1</v>
      </c>
      <c r="AP78" s="3">
        <v>1</v>
      </c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 x14ac:dyDescent="0.3">
      <c r="A79" s="3" t="s">
        <v>337</v>
      </c>
      <c r="B79" s="62">
        <v>12</v>
      </c>
      <c r="C79" s="64"/>
      <c r="D79" s="3" t="s">
        <v>308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>
        <v>1</v>
      </c>
      <c r="U79" s="3">
        <v>1</v>
      </c>
      <c r="V79" s="3"/>
      <c r="W79" s="3">
        <v>1</v>
      </c>
      <c r="X79" s="3">
        <v>1</v>
      </c>
      <c r="Y79" s="3">
        <v>1</v>
      </c>
      <c r="Z79" s="3">
        <v>1</v>
      </c>
      <c r="AA79" s="3">
        <v>1</v>
      </c>
      <c r="AB79" s="3">
        <v>1</v>
      </c>
      <c r="AC79" s="3">
        <v>1</v>
      </c>
      <c r="AD79" s="3">
        <v>1</v>
      </c>
      <c r="AE79" s="3">
        <v>1</v>
      </c>
      <c r="AF79" s="3">
        <v>1</v>
      </c>
      <c r="AG79" s="3">
        <v>1</v>
      </c>
      <c r="AH79" s="3">
        <v>1</v>
      </c>
      <c r="AI79" s="3">
        <v>1</v>
      </c>
      <c r="AJ79" s="3">
        <v>1</v>
      </c>
      <c r="AK79" s="3">
        <v>1</v>
      </c>
      <c r="AL79" s="3"/>
      <c r="AM79" s="3">
        <v>1</v>
      </c>
      <c r="AN79" s="3">
        <v>1</v>
      </c>
      <c r="AO79" s="3">
        <v>1</v>
      </c>
      <c r="AP79" s="3">
        <v>1</v>
      </c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 x14ac:dyDescent="0.3">
      <c r="A80" s="3" t="s">
        <v>337</v>
      </c>
      <c r="B80" s="62">
        <v>21</v>
      </c>
      <c r="C80" s="64"/>
      <c r="D80" s="3" t="s">
        <v>309</v>
      </c>
      <c r="E80" s="3">
        <v>1</v>
      </c>
      <c r="F80" s="3">
        <v>1</v>
      </c>
      <c r="G80" s="3"/>
      <c r="H80" s="3"/>
      <c r="I80" s="3">
        <v>1</v>
      </c>
      <c r="J80" s="3">
        <v>1</v>
      </c>
      <c r="K80" s="3">
        <v>1</v>
      </c>
      <c r="L80" s="3">
        <v>1</v>
      </c>
      <c r="M80" s="3">
        <v>1</v>
      </c>
      <c r="N80" s="3">
        <v>1</v>
      </c>
      <c r="O80" s="3"/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3">
        <v>1</v>
      </c>
      <c r="V80" s="3">
        <v>1</v>
      </c>
      <c r="W80" s="3">
        <v>1</v>
      </c>
      <c r="X80" s="3">
        <v>1</v>
      </c>
      <c r="Y80" s="3">
        <v>1</v>
      </c>
      <c r="Z80" s="3">
        <v>1</v>
      </c>
      <c r="AA80" s="3">
        <v>1</v>
      </c>
      <c r="AB80" s="3">
        <v>1</v>
      </c>
      <c r="AC80" s="3"/>
      <c r="AD80" s="3"/>
      <c r="AE80" s="3"/>
      <c r="AF80" s="3">
        <v>1</v>
      </c>
      <c r="AG80" s="3">
        <v>1</v>
      </c>
      <c r="AH80" s="3">
        <v>1</v>
      </c>
      <c r="AI80" s="3">
        <v>1</v>
      </c>
      <c r="AJ80" s="3">
        <v>1</v>
      </c>
      <c r="AK80" s="3">
        <v>1</v>
      </c>
      <c r="AL80" s="3"/>
      <c r="AM80" s="3">
        <v>1</v>
      </c>
      <c r="AN80" s="3">
        <v>1</v>
      </c>
      <c r="AO80" s="3"/>
      <c r="AP80" s="3">
        <v>1</v>
      </c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 x14ac:dyDescent="0.3">
      <c r="A81" s="3" t="s">
        <v>337</v>
      </c>
      <c r="B81" s="62">
        <v>21</v>
      </c>
      <c r="C81" s="64"/>
      <c r="D81" s="3" t="s">
        <v>241</v>
      </c>
      <c r="E81" s="3">
        <v>1</v>
      </c>
      <c r="F81" s="3">
        <v>1</v>
      </c>
      <c r="G81" s="3"/>
      <c r="H81" s="3"/>
      <c r="I81" s="3"/>
      <c r="J81" s="3"/>
      <c r="K81" s="3">
        <v>1</v>
      </c>
      <c r="L81" s="3"/>
      <c r="M81" s="3">
        <v>1</v>
      </c>
      <c r="N81" s="3">
        <v>1</v>
      </c>
      <c r="O81" s="3"/>
      <c r="P81" s="3">
        <v>1</v>
      </c>
      <c r="Q81" s="3">
        <v>1</v>
      </c>
      <c r="R81" s="3">
        <v>1</v>
      </c>
      <c r="S81" s="3"/>
      <c r="T81" s="3">
        <v>1</v>
      </c>
      <c r="U81" s="3">
        <v>1</v>
      </c>
      <c r="V81" s="3"/>
      <c r="W81" s="3">
        <v>1</v>
      </c>
      <c r="X81" s="3">
        <v>1</v>
      </c>
      <c r="Y81" s="3"/>
      <c r="Z81" s="3"/>
      <c r="AA81" s="3">
        <v>1</v>
      </c>
      <c r="AB81" s="3"/>
      <c r="AC81" s="3"/>
      <c r="AD81" s="3">
        <v>1</v>
      </c>
      <c r="AE81" s="3"/>
      <c r="AF81" s="3">
        <v>1</v>
      </c>
      <c r="AG81" s="3"/>
      <c r="AH81" s="3">
        <v>1</v>
      </c>
      <c r="AI81" s="3"/>
      <c r="AJ81" s="3"/>
      <c r="AK81" s="3">
        <v>1</v>
      </c>
      <c r="AL81" s="3"/>
      <c r="AM81" s="3">
        <v>1</v>
      </c>
      <c r="AN81" s="3">
        <v>1</v>
      </c>
      <c r="AO81" s="3"/>
      <c r="AP81" s="3">
        <v>1</v>
      </c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 x14ac:dyDescent="0.3">
      <c r="A82" s="3" t="s">
        <v>337</v>
      </c>
      <c r="B82" s="62">
        <v>21</v>
      </c>
      <c r="C82" s="64"/>
      <c r="D82" s="3" t="s">
        <v>126</v>
      </c>
      <c r="E82" s="3"/>
      <c r="F82" s="3"/>
      <c r="G82" s="3"/>
      <c r="H82" s="3"/>
      <c r="I82" s="3">
        <v>1</v>
      </c>
      <c r="J82" s="3">
        <v>1</v>
      </c>
      <c r="K82" s="3"/>
      <c r="L82" s="3"/>
      <c r="M82" s="3">
        <v>1</v>
      </c>
      <c r="N82" s="3"/>
      <c r="O82" s="3"/>
      <c r="P82" s="3">
        <v>1</v>
      </c>
      <c r="Q82" s="3"/>
      <c r="R82" s="3"/>
      <c r="S82" s="3"/>
      <c r="T82" s="3"/>
      <c r="U82" s="3"/>
      <c r="V82" s="3"/>
      <c r="W82" s="3">
        <v>1</v>
      </c>
      <c r="X82" s="3">
        <v>1</v>
      </c>
      <c r="Y82" s="3">
        <v>1</v>
      </c>
      <c r="Z82" s="3"/>
      <c r="AA82" s="3"/>
      <c r="AB82" s="3">
        <v>1</v>
      </c>
      <c r="AC82" s="3">
        <v>1</v>
      </c>
      <c r="AD82" s="3">
        <v>1</v>
      </c>
      <c r="AE82" s="3">
        <v>1</v>
      </c>
      <c r="AF82" s="3"/>
      <c r="AG82" s="3"/>
      <c r="AH82" s="3"/>
      <c r="AI82" s="3">
        <v>1</v>
      </c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 x14ac:dyDescent="0.3">
      <c r="A83" s="3" t="s">
        <v>337</v>
      </c>
      <c r="B83" s="62">
        <v>21</v>
      </c>
      <c r="C83" s="64"/>
      <c r="D83" s="3" t="s">
        <v>20</v>
      </c>
      <c r="E83" s="3">
        <v>1</v>
      </c>
      <c r="F83" s="3">
        <v>1</v>
      </c>
      <c r="G83" s="3"/>
      <c r="H83" s="3"/>
      <c r="I83" s="3">
        <v>1</v>
      </c>
      <c r="J83" s="3">
        <v>1</v>
      </c>
      <c r="K83" s="3">
        <v>1</v>
      </c>
      <c r="L83" s="3">
        <v>1</v>
      </c>
      <c r="M83" s="3">
        <v>1</v>
      </c>
      <c r="N83" s="3">
        <v>1</v>
      </c>
      <c r="O83" s="3"/>
      <c r="P83" s="3">
        <v>1</v>
      </c>
      <c r="Q83" s="3">
        <v>1</v>
      </c>
      <c r="R83" s="3">
        <v>1</v>
      </c>
      <c r="S83" s="3">
        <v>1</v>
      </c>
      <c r="T83" s="3">
        <v>1</v>
      </c>
      <c r="U83" s="3">
        <v>1</v>
      </c>
      <c r="V83" s="3">
        <v>1</v>
      </c>
      <c r="W83" s="3">
        <v>1</v>
      </c>
      <c r="X83" s="3">
        <v>1</v>
      </c>
      <c r="Y83" s="3">
        <v>1</v>
      </c>
      <c r="Z83" s="3">
        <v>1</v>
      </c>
      <c r="AA83" s="3">
        <v>1</v>
      </c>
      <c r="AB83" s="3">
        <v>1</v>
      </c>
      <c r="AC83" s="3">
        <v>1</v>
      </c>
      <c r="AD83" s="3">
        <v>1</v>
      </c>
      <c r="AE83" s="3">
        <v>1</v>
      </c>
      <c r="AF83" s="3">
        <v>1</v>
      </c>
      <c r="AG83" s="3">
        <v>1</v>
      </c>
      <c r="AH83" s="3">
        <v>1</v>
      </c>
      <c r="AI83" s="3">
        <v>1</v>
      </c>
      <c r="AJ83" s="3">
        <v>1</v>
      </c>
      <c r="AK83" s="3">
        <v>1</v>
      </c>
      <c r="AL83" s="3"/>
      <c r="AM83" s="3">
        <v>1</v>
      </c>
      <c r="AN83" s="3">
        <v>1</v>
      </c>
      <c r="AO83" s="3">
        <v>1</v>
      </c>
      <c r="AP83" s="3">
        <v>1</v>
      </c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 x14ac:dyDescent="0.3">
      <c r="A84" s="3" t="s">
        <v>337</v>
      </c>
      <c r="B84" s="62">
        <v>21</v>
      </c>
      <c r="C84" s="64"/>
      <c r="D84" s="3" t="s">
        <v>225</v>
      </c>
      <c r="E84" s="3">
        <v>1</v>
      </c>
      <c r="F84" s="3"/>
      <c r="G84" s="3"/>
      <c r="H84" s="3"/>
      <c r="I84" s="3">
        <v>1</v>
      </c>
      <c r="J84" s="3">
        <v>1</v>
      </c>
      <c r="K84" s="3">
        <v>1</v>
      </c>
      <c r="L84" s="3">
        <v>1</v>
      </c>
      <c r="M84" s="3"/>
      <c r="N84" s="3">
        <v>1</v>
      </c>
      <c r="O84" s="3"/>
      <c r="P84" s="3">
        <v>1</v>
      </c>
      <c r="Q84" s="3">
        <v>1</v>
      </c>
      <c r="R84" s="3">
        <v>1</v>
      </c>
      <c r="S84" s="3">
        <v>1</v>
      </c>
      <c r="T84" s="3"/>
      <c r="U84" s="3"/>
      <c r="V84" s="3">
        <v>1</v>
      </c>
      <c r="W84" s="3">
        <v>1</v>
      </c>
      <c r="X84" s="3">
        <v>1</v>
      </c>
      <c r="Y84" s="3">
        <v>1</v>
      </c>
      <c r="Z84" s="3"/>
      <c r="AA84" s="3"/>
      <c r="AB84" s="3">
        <v>1</v>
      </c>
      <c r="AC84" s="3">
        <v>1</v>
      </c>
      <c r="AD84" s="3"/>
      <c r="AE84" s="3">
        <v>1</v>
      </c>
      <c r="AF84" s="3"/>
      <c r="AG84" s="3"/>
      <c r="AH84" s="3"/>
      <c r="AI84" s="3"/>
      <c r="AJ84" s="3"/>
      <c r="AK84" s="3">
        <v>1</v>
      </c>
      <c r="AL84" s="3"/>
      <c r="AM84" s="3">
        <v>1</v>
      </c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 x14ac:dyDescent="0.3">
      <c r="A85" s="3" t="s">
        <v>337</v>
      </c>
      <c r="B85" s="62">
        <v>21</v>
      </c>
      <c r="C85" s="64"/>
      <c r="D85" s="3" t="s">
        <v>310</v>
      </c>
      <c r="E85" s="3">
        <v>1</v>
      </c>
      <c r="F85" s="3"/>
      <c r="G85" s="3"/>
      <c r="H85" s="3"/>
      <c r="I85" s="3"/>
      <c r="J85" s="3"/>
      <c r="K85" s="3">
        <v>1</v>
      </c>
      <c r="L85" s="3">
        <v>1</v>
      </c>
      <c r="M85" s="3"/>
      <c r="N85" s="3"/>
      <c r="O85" s="3"/>
      <c r="P85" s="3"/>
      <c r="Q85" s="3"/>
      <c r="R85" s="3"/>
      <c r="S85" s="3"/>
      <c r="T85" s="3">
        <v>1</v>
      </c>
      <c r="U85" s="3"/>
      <c r="V85" s="3"/>
      <c r="W85" s="3"/>
      <c r="X85" s="3">
        <v>1</v>
      </c>
      <c r="Y85" s="3"/>
      <c r="Z85" s="3"/>
      <c r="AA85" s="3"/>
      <c r="AB85" s="3">
        <v>1</v>
      </c>
      <c r="AC85" s="3"/>
      <c r="AD85" s="3">
        <v>1</v>
      </c>
      <c r="AE85" s="3">
        <v>1</v>
      </c>
      <c r="AF85" s="3">
        <v>1</v>
      </c>
      <c r="AG85" s="3">
        <v>1</v>
      </c>
      <c r="AH85" s="3">
        <v>1</v>
      </c>
      <c r="AI85" s="3">
        <v>1</v>
      </c>
      <c r="AJ85" s="3">
        <v>1</v>
      </c>
      <c r="AK85" s="3">
        <v>1</v>
      </c>
      <c r="AL85" s="3"/>
      <c r="AM85" s="3">
        <v>1</v>
      </c>
      <c r="AN85" s="3">
        <v>1</v>
      </c>
      <c r="AO85" s="3">
        <v>1</v>
      </c>
      <c r="AP85" s="3">
        <v>1</v>
      </c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 x14ac:dyDescent="0.3">
      <c r="A86" s="3" t="s">
        <v>337</v>
      </c>
      <c r="B86" s="62">
        <v>21</v>
      </c>
      <c r="C86" s="64"/>
      <c r="D86" s="3" t="s">
        <v>256</v>
      </c>
      <c r="E86" s="3">
        <v>1</v>
      </c>
      <c r="F86" s="3">
        <v>1</v>
      </c>
      <c r="G86" s="3"/>
      <c r="H86" s="3"/>
      <c r="I86" s="3">
        <v>1</v>
      </c>
      <c r="J86" s="3">
        <v>1</v>
      </c>
      <c r="K86" s="3">
        <v>1</v>
      </c>
      <c r="L86" s="3">
        <v>1</v>
      </c>
      <c r="M86" s="3">
        <v>1</v>
      </c>
      <c r="N86" s="3">
        <v>1</v>
      </c>
      <c r="O86" s="3"/>
      <c r="P86" s="3">
        <v>1</v>
      </c>
      <c r="Q86" s="3">
        <v>1</v>
      </c>
      <c r="R86" s="3">
        <v>1</v>
      </c>
      <c r="S86" s="3">
        <v>1</v>
      </c>
      <c r="T86" s="3">
        <v>1</v>
      </c>
      <c r="U86" s="3">
        <v>1</v>
      </c>
      <c r="V86" s="3">
        <v>1</v>
      </c>
      <c r="W86" s="3">
        <v>1</v>
      </c>
      <c r="X86" s="3">
        <v>1</v>
      </c>
      <c r="Y86" s="3">
        <v>1</v>
      </c>
      <c r="Z86" s="3">
        <v>1</v>
      </c>
      <c r="AA86" s="3">
        <v>1</v>
      </c>
      <c r="AB86" s="3">
        <v>1</v>
      </c>
      <c r="AC86" s="3">
        <v>1</v>
      </c>
      <c r="AD86" s="3">
        <v>1</v>
      </c>
      <c r="AE86" s="3">
        <v>1</v>
      </c>
      <c r="AF86" s="3">
        <v>1</v>
      </c>
      <c r="AG86" s="3">
        <v>1</v>
      </c>
      <c r="AH86" s="3">
        <v>1</v>
      </c>
      <c r="AI86" s="3">
        <v>1</v>
      </c>
      <c r="AJ86" s="3">
        <v>1</v>
      </c>
      <c r="AK86" s="3">
        <v>1</v>
      </c>
      <c r="AL86" s="3"/>
      <c r="AM86" s="3">
        <v>1</v>
      </c>
      <c r="AN86" s="3">
        <v>1</v>
      </c>
      <c r="AO86" s="3">
        <v>1</v>
      </c>
      <c r="AP86" s="3">
        <v>1</v>
      </c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 x14ac:dyDescent="0.3">
      <c r="A87" s="3" t="s">
        <v>337</v>
      </c>
      <c r="B87" s="62">
        <v>21</v>
      </c>
      <c r="C87" s="64"/>
      <c r="D87" s="3" t="s">
        <v>219</v>
      </c>
      <c r="E87" s="3">
        <v>1</v>
      </c>
      <c r="F87" s="3">
        <v>1</v>
      </c>
      <c r="G87" s="3"/>
      <c r="H87" s="3"/>
      <c r="I87" s="3">
        <v>1</v>
      </c>
      <c r="J87" s="3">
        <v>1</v>
      </c>
      <c r="K87" s="3">
        <v>1</v>
      </c>
      <c r="L87" s="3">
        <v>1</v>
      </c>
      <c r="M87" s="3">
        <v>1</v>
      </c>
      <c r="N87" s="3"/>
      <c r="O87" s="3"/>
      <c r="P87" s="3">
        <v>1</v>
      </c>
      <c r="Q87" s="3">
        <v>1</v>
      </c>
      <c r="R87" s="3">
        <v>1</v>
      </c>
      <c r="S87" s="3">
        <v>1</v>
      </c>
      <c r="T87" s="3">
        <v>1</v>
      </c>
      <c r="U87" s="3">
        <v>1</v>
      </c>
      <c r="V87" s="3">
        <v>1</v>
      </c>
      <c r="W87" s="3">
        <v>1</v>
      </c>
      <c r="X87" s="3">
        <v>1</v>
      </c>
      <c r="Y87" s="3">
        <v>1</v>
      </c>
      <c r="Z87" s="3">
        <v>1</v>
      </c>
      <c r="AA87" s="3"/>
      <c r="AB87" s="3">
        <v>1</v>
      </c>
      <c r="AC87" s="3">
        <v>1</v>
      </c>
      <c r="AD87" s="3">
        <v>1</v>
      </c>
      <c r="AE87" s="3">
        <v>1</v>
      </c>
      <c r="AF87" s="3">
        <v>1</v>
      </c>
      <c r="AG87" s="3">
        <v>1</v>
      </c>
      <c r="AH87" s="3">
        <v>1</v>
      </c>
      <c r="AI87" s="3">
        <v>1</v>
      </c>
      <c r="AJ87" s="3">
        <v>1</v>
      </c>
      <c r="AK87" s="3">
        <v>1</v>
      </c>
      <c r="AL87" s="3"/>
      <c r="AM87" s="3">
        <v>1</v>
      </c>
      <c r="AN87" s="3">
        <v>1</v>
      </c>
      <c r="AO87" s="3">
        <v>1</v>
      </c>
      <c r="AP87" s="3">
        <v>1</v>
      </c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 x14ac:dyDescent="0.3">
      <c r="A88" s="3" t="s">
        <v>337</v>
      </c>
      <c r="B88" s="62">
        <v>21</v>
      </c>
      <c r="C88" s="64"/>
      <c r="D88" s="3" t="s">
        <v>232</v>
      </c>
      <c r="E88" s="3"/>
      <c r="F88" s="3">
        <v>1</v>
      </c>
      <c r="G88" s="3"/>
      <c r="H88" s="3"/>
      <c r="I88" s="3"/>
      <c r="J88" s="3">
        <v>1</v>
      </c>
      <c r="K88" s="3">
        <v>1</v>
      </c>
      <c r="L88" s="3">
        <v>1</v>
      </c>
      <c r="M88" s="3">
        <v>1</v>
      </c>
      <c r="N88" s="3"/>
      <c r="O88" s="3"/>
      <c r="P88" s="3"/>
      <c r="Q88" s="3">
        <v>1</v>
      </c>
      <c r="R88" s="3"/>
      <c r="S88" s="3">
        <v>1</v>
      </c>
      <c r="T88" s="3">
        <v>1</v>
      </c>
      <c r="U88" s="3">
        <v>1</v>
      </c>
      <c r="V88" s="3"/>
      <c r="W88" s="3">
        <v>1</v>
      </c>
      <c r="X88" s="3">
        <v>1</v>
      </c>
      <c r="Y88" s="3">
        <v>1</v>
      </c>
      <c r="Z88" s="3">
        <v>1</v>
      </c>
      <c r="AA88" s="3"/>
      <c r="AB88" s="3">
        <v>1</v>
      </c>
      <c r="AC88" s="3">
        <v>1</v>
      </c>
      <c r="AD88" s="3">
        <v>1</v>
      </c>
      <c r="AE88" s="3"/>
      <c r="AF88" s="3"/>
      <c r="AG88" s="3"/>
      <c r="AH88" s="3">
        <v>1</v>
      </c>
      <c r="AI88" s="3"/>
      <c r="AJ88" s="3">
        <v>1</v>
      </c>
      <c r="AK88" s="3">
        <v>1</v>
      </c>
      <c r="AL88" s="3"/>
      <c r="AM88" s="3">
        <v>1</v>
      </c>
      <c r="AN88" s="3">
        <v>1</v>
      </c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 x14ac:dyDescent="0.3">
      <c r="A89" s="3" t="s">
        <v>337</v>
      </c>
      <c r="B89" s="62">
        <v>21</v>
      </c>
      <c r="C89" s="64"/>
      <c r="D89" s="3" t="s">
        <v>311</v>
      </c>
      <c r="E89" s="3">
        <v>1</v>
      </c>
      <c r="F89" s="3">
        <v>1</v>
      </c>
      <c r="G89" s="3"/>
      <c r="H89" s="3"/>
      <c r="I89" s="3">
        <v>1</v>
      </c>
      <c r="J89" s="3">
        <v>1</v>
      </c>
      <c r="K89" s="3">
        <v>1</v>
      </c>
      <c r="L89" s="3">
        <v>1</v>
      </c>
      <c r="M89" s="3">
        <v>1</v>
      </c>
      <c r="N89" s="3">
        <v>1</v>
      </c>
      <c r="O89" s="3"/>
      <c r="P89" s="3">
        <v>1</v>
      </c>
      <c r="Q89" s="3">
        <v>1</v>
      </c>
      <c r="R89" s="3">
        <v>1</v>
      </c>
      <c r="S89" s="3">
        <v>1</v>
      </c>
      <c r="T89" s="3">
        <v>1</v>
      </c>
      <c r="U89" s="3">
        <v>1</v>
      </c>
      <c r="V89" s="3">
        <v>1</v>
      </c>
      <c r="W89" s="3">
        <v>1</v>
      </c>
      <c r="X89" s="3">
        <v>1</v>
      </c>
      <c r="Y89" s="3">
        <v>1</v>
      </c>
      <c r="Z89" s="3">
        <v>1</v>
      </c>
      <c r="AA89" s="3">
        <v>1</v>
      </c>
      <c r="AB89" s="3">
        <v>1</v>
      </c>
      <c r="AC89" s="3">
        <v>1</v>
      </c>
      <c r="AD89" s="3">
        <v>1</v>
      </c>
      <c r="AE89" s="3">
        <v>1</v>
      </c>
      <c r="AF89" s="3">
        <v>1</v>
      </c>
      <c r="AG89" s="3">
        <v>1</v>
      </c>
      <c r="AH89" s="3">
        <v>1</v>
      </c>
      <c r="AI89" s="3">
        <v>1</v>
      </c>
      <c r="AJ89" s="3">
        <v>1</v>
      </c>
      <c r="AK89" s="3">
        <v>1</v>
      </c>
      <c r="AL89" s="3"/>
      <c r="AM89" s="3">
        <v>1</v>
      </c>
      <c r="AN89" s="3">
        <v>1</v>
      </c>
      <c r="AO89" s="3"/>
      <c r="AP89" s="3">
        <v>1</v>
      </c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 x14ac:dyDescent="0.3">
      <c r="A90" s="3" t="s">
        <v>337</v>
      </c>
      <c r="B90" s="62">
        <v>21</v>
      </c>
      <c r="C90" s="64"/>
      <c r="D90" s="3" t="s">
        <v>233</v>
      </c>
      <c r="E90" s="3"/>
      <c r="F90" s="3"/>
      <c r="G90" s="3"/>
      <c r="H90" s="3"/>
      <c r="I90" s="3"/>
      <c r="J90" s="3"/>
      <c r="K90" s="3"/>
      <c r="L90" s="3"/>
      <c r="M90" s="3">
        <v>1</v>
      </c>
      <c r="N90" s="3">
        <v>1</v>
      </c>
      <c r="O90" s="3"/>
      <c r="P90" s="3"/>
      <c r="Q90" s="3">
        <v>1</v>
      </c>
      <c r="R90" s="3">
        <v>1</v>
      </c>
      <c r="S90" s="3"/>
      <c r="T90" s="3"/>
      <c r="U90" s="3"/>
      <c r="V90" s="3"/>
      <c r="W90" s="3"/>
      <c r="X90" s="3">
        <v>1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 x14ac:dyDescent="0.3">
      <c r="A91" s="3" t="s">
        <v>337</v>
      </c>
      <c r="B91" s="62">
        <v>21</v>
      </c>
      <c r="C91" s="64"/>
      <c r="D91" s="3" t="s">
        <v>312</v>
      </c>
      <c r="E91" s="3">
        <v>1</v>
      </c>
      <c r="F91" s="3">
        <v>1</v>
      </c>
      <c r="G91" s="3"/>
      <c r="H91" s="3"/>
      <c r="I91" s="3">
        <v>1</v>
      </c>
      <c r="J91" s="3">
        <v>1</v>
      </c>
      <c r="K91" s="3">
        <v>1</v>
      </c>
      <c r="L91" s="3">
        <v>1</v>
      </c>
      <c r="M91" s="3">
        <v>1</v>
      </c>
      <c r="N91" s="3">
        <v>1</v>
      </c>
      <c r="O91" s="3"/>
      <c r="P91" s="3">
        <v>1</v>
      </c>
      <c r="Q91" s="3">
        <v>1</v>
      </c>
      <c r="R91" s="3">
        <v>1</v>
      </c>
      <c r="S91" s="3">
        <v>1</v>
      </c>
      <c r="T91" s="3">
        <v>1</v>
      </c>
      <c r="U91" s="3">
        <v>1</v>
      </c>
      <c r="V91" s="3">
        <v>1</v>
      </c>
      <c r="W91" s="3">
        <v>1</v>
      </c>
      <c r="X91" s="3">
        <v>1</v>
      </c>
      <c r="Y91" s="3">
        <v>1</v>
      </c>
      <c r="Z91" s="3">
        <v>1</v>
      </c>
      <c r="AA91" s="3">
        <v>1</v>
      </c>
      <c r="AB91" s="3">
        <v>1</v>
      </c>
      <c r="AC91" s="3">
        <v>1</v>
      </c>
      <c r="AD91" s="3">
        <v>1</v>
      </c>
      <c r="AE91" s="3">
        <v>1</v>
      </c>
      <c r="AF91" s="3">
        <v>1</v>
      </c>
      <c r="AG91" s="3">
        <v>1</v>
      </c>
      <c r="AH91" s="3">
        <v>1</v>
      </c>
      <c r="AI91" s="3">
        <v>1</v>
      </c>
      <c r="AJ91" s="3">
        <v>1</v>
      </c>
      <c r="AK91" s="3">
        <v>1</v>
      </c>
      <c r="AL91" s="3"/>
      <c r="AM91" s="3">
        <v>1</v>
      </c>
      <c r="AN91" s="3">
        <v>1</v>
      </c>
      <c r="AO91" s="3"/>
      <c r="AP91" s="3">
        <v>1</v>
      </c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 x14ac:dyDescent="0.3">
      <c r="A92" s="3" t="s">
        <v>337</v>
      </c>
      <c r="B92" s="62">
        <v>21</v>
      </c>
      <c r="C92" s="64"/>
      <c r="D92" s="3" t="s">
        <v>280</v>
      </c>
      <c r="E92" s="3">
        <v>1</v>
      </c>
      <c r="F92" s="3">
        <v>1</v>
      </c>
      <c r="G92" s="3"/>
      <c r="H92" s="3"/>
      <c r="I92" s="3">
        <v>1</v>
      </c>
      <c r="J92" s="3">
        <v>1</v>
      </c>
      <c r="K92" s="3">
        <v>1</v>
      </c>
      <c r="L92" s="3">
        <v>1</v>
      </c>
      <c r="M92" s="3">
        <v>1</v>
      </c>
      <c r="N92" s="3">
        <v>1</v>
      </c>
      <c r="O92" s="3"/>
      <c r="P92" s="3">
        <v>1</v>
      </c>
      <c r="Q92" s="3">
        <v>1</v>
      </c>
      <c r="R92" s="3">
        <v>1</v>
      </c>
      <c r="S92" s="3">
        <v>1</v>
      </c>
      <c r="T92" s="3">
        <v>1</v>
      </c>
      <c r="U92" s="3">
        <v>1</v>
      </c>
      <c r="V92" s="3">
        <v>1</v>
      </c>
      <c r="W92" s="3">
        <v>1</v>
      </c>
      <c r="X92" s="3">
        <v>1</v>
      </c>
      <c r="Y92" s="3">
        <v>1</v>
      </c>
      <c r="Z92" s="3"/>
      <c r="AA92" s="3">
        <v>1</v>
      </c>
      <c r="AB92" s="3">
        <v>1</v>
      </c>
      <c r="AC92" s="3">
        <v>1</v>
      </c>
      <c r="AD92" s="3">
        <v>1</v>
      </c>
      <c r="AE92" s="3">
        <v>1</v>
      </c>
      <c r="AF92" s="3"/>
      <c r="AG92" s="3">
        <v>1</v>
      </c>
      <c r="AH92" s="3">
        <v>1</v>
      </c>
      <c r="AI92" s="3">
        <v>1</v>
      </c>
      <c r="AJ92" s="3">
        <v>1</v>
      </c>
      <c r="AK92" s="3">
        <v>1</v>
      </c>
      <c r="AL92" s="3"/>
      <c r="AM92" s="3">
        <v>1</v>
      </c>
      <c r="AN92" s="3">
        <v>1</v>
      </c>
      <c r="AO92" s="3">
        <v>1</v>
      </c>
      <c r="AP92" s="3">
        <v>1</v>
      </c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 x14ac:dyDescent="0.3">
      <c r="A93" s="3" t="s">
        <v>337</v>
      </c>
      <c r="B93" s="62">
        <v>21</v>
      </c>
      <c r="C93" s="64"/>
      <c r="D93" s="3" t="s">
        <v>171</v>
      </c>
      <c r="E93" s="3">
        <v>1</v>
      </c>
      <c r="F93" s="3">
        <v>1</v>
      </c>
      <c r="G93" s="3"/>
      <c r="H93" s="3"/>
      <c r="I93" s="3">
        <v>1</v>
      </c>
      <c r="J93" s="3">
        <v>1</v>
      </c>
      <c r="K93" s="3">
        <v>1</v>
      </c>
      <c r="L93" s="3">
        <v>1</v>
      </c>
      <c r="M93" s="3">
        <v>1</v>
      </c>
      <c r="N93" s="3">
        <v>1</v>
      </c>
      <c r="O93" s="3"/>
      <c r="P93" s="3">
        <v>1</v>
      </c>
      <c r="Q93" s="3">
        <v>1</v>
      </c>
      <c r="R93" s="3">
        <v>1</v>
      </c>
      <c r="S93" s="3">
        <v>1</v>
      </c>
      <c r="T93" s="3">
        <v>1</v>
      </c>
      <c r="U93" s="3">
        <v>1</v>
      </c>
      <c r="V93" s="3">
        <v>1</v>
      </c>
      <c r="W93" s="3">
        <v>1</v>
      </c>
      <c r="X93" s="3">
        <v>1</v>
      </c>
      <c r="Y93" s="3">
        <v>1</v>
      </c>
      <c r="Z93" s="3">
        <v>1</v>
      </c>
      <c r="AA93" s="3">
        <v>1</v>
      </c>
      <c r="AB93" s="3">
        <v>1</v>
      </c>
      <c r="AC93" s="3">
        <v>1</v>
      </c>
      <c r="AD93" s="3">
        <v>1</v>
      </c>
      <c r="AE93" s="3">
        <v>1</v>
      </c>
      <c r="AF93" s="3">
        <v>1</v>
      </c>
      <c r="AG93" s="3">
        <v>1</v>
      </c>
      <c r="AH93" s="3">
        <v>1</v>
      </c>
      <c r="AI93" s="3">
        <v>1</v>
      </c>
      <c r="AJ93" s="3">
        <v>1</v>
      </c>
      <c r="AK93" s="3">
        <v>1</v>
      </c>
      <c r="AL93" s="3"/>
      <c r="AM93" s="3">
        <v>1</v>
      </c>
      <c r="AN93" s="3">
        <v>1</v>
      </c>
      <c r="AO93" s="3">
        <v>1</v>
      </c>
      <c r="AP93" s="3">
        <v>1</v>
      </c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 x14ac:dyDescent="0.3">
      <c r="A94" s="3" t="s">
        <v>337</v>
      </c>
      <c r="B94" s="62">
        <v>21</v>
      </c>
      <c r="C94" s="64"/>
      <c r="D94" s="3" t="s">
        <v>313</v>
      </c>
      <c r="E94" s="3">
        <v>1</v>
      </c>
      <c r="F94" s="3"/>
      <c r="G94" s="3"/>
      <c r="H94" s="3"/>
      <c r="I94" s="3"/>
      <c r="J94" s="3">
        <v>1</v>
      </c>
      <c r="K94" s="3">
        <v>1</v>
      </c>
      <c r="L94" s="3">
        <v>1</v>
      </c>
      <c r="M94" s="3"/>
      <c r="N94" s="3"/>
      <c r="O94" s="3"/>
      <c r="P94" s="3"/>
      <c r="Q94" s="3">
        <v>1</v>
      </c>
      <c r="R94" s="3"/>
      <c r="S94" s="3"/>
      <c r="T94" s="3">
        <v>1</v>
      </c>
      <c r="U94" s="3"/>
      <c r="V94" s="3">
        <v>1</v>
      </c>
      <c r="W94" s="3">
        <v>1</v>
      </c>
      <c r="X94" s="3">
        <v>1</v>
      </c>
      <c r="Y94" s="3"/>
      <c r="Z94" s="3"/>
      <c r="AA94" s="3"/>
      <c r="AB94" s="3">
        <v>1</v>
      </c>
      <c r="AC94" s="3"/>
      <c r="AD94" s="3">
        <v>1</v>
      </c>
      <c r="AE94" s="3">
        <v>1</v>
      </c>
      <c r="AF94" s="3"/>
      <c r="AG94" s="3">
        <v>1</v>
      </c>
      <c r="AH94" s="3">
        <v>1</v>
      </c>
      <c r="AI94" s="3">
        <v>1</v>
      </c>
      <c r="AJ94" s="3">
        <v>1</v>
      </c>
      <c r="AK94" s="3">
        <v>1</v>
      </c>
      <c r="AL94" s="3"/>
      <c r="AM94" s="3">
        <v>1</v>
      </c>
      <c r="AN94" s="3">
        <v>1</v>
      </c>
      <c r="AO94" s="3">
        <v>1</v>
      </c>
      <c r="AP94" s="3">
        <v>1</v>
      </c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 x14ac:dyDescent="0.3">
      <c r="A95" s="3" t="s">
        <v>337</v>
      </c>
      <c r="B95" s="62">
        <v>21</v>
      </c>
      <c r="C95" s="64"/>
      <c r="D95" s="3" t="s">
        <v>176</v>
      </c>
      <c r="E95" s="3"/>
      <c r="F95" s="3">
        <v>1</v>
      </c>
      <c r="G95" s="3"/>
      <c r="H95" s="3"/>
      <c r="I95" s="3"/>
      <c r="J95" s="3"/>
      <c r="K95" s="3">
        <v>1</v>
      </c>
      <c r="L95" s="3">
        <v>1</v>
      </c>
      <c r="M95" s="3"/>
      <c r="N95" s="3"/>
      <c r="O95" s="3"/>
      <c r="P95" s="3"/>
      <c r="Q95" s="3">
        <v>1</v>
      </c>
      <c r="R95" s="3"/>
      <c r="S95" s="3"/>
      <c r="T95" s="3"/>
      <c r="U95" s="3"/>
      <c r="V95" s="3"/>
      <c r="W95" s="3"/>
      <c r="X95" s="3"/>
      <c r="Y95" s="3"/>
      <c r="Z95" s="3"/>
      <c r="AA95" s="3">
        <v>1</v>
      </c>
      <c r="AB95" s="3"/>
      <c r="AC95" s="3"/>
      <c r="AD95" s="3"/>
      <c r="AE95" s="3"/>
      <c r="AF95" s="3"/>
      <c r="AG95" s="3"/>
      <c r="AH95" s="3"/>
      <c r="AI95" s="3">
        <v>1</v>
      </c>
      <c r="AJ95" s="3"/>
      <c r="AK95" s="3"/>
      <c r="AL95" s="3"/>
      <c r="AM95" s="3"/>
      <c r="AN95" s="3">
        <v>1</v>
      </c>
      <c r="AO95" s="3"/>
      <c r="AP95" s="3">
        <v>1</v>
      </c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 x14ac:dyDescent="0.3">
      <c r="A96" s="3" t="s">
        <v>337</v>
      </c>
      <c r="B96" s="62">
        <v>21</v>
      </c>
      <c r="C96" s="64"/>
      <c r="D96" s="3" t="s">
        <v>143</v>
      </c>
      <c r="E96" s="3">
        <v>1</v>
      </c>
      <c r="F96" s="3">
        <v>1</v>
      </c>
      <c r="G96" s="3"/>
      <c r="H96" s="3"/>
      <c r="I96" s="3">
        <v>1</v>
      </c>
      <c r="J96" s="3">
        <v>1</v>
      </c>
      <c r="K96" s="3">
        <v>1</v>
      </c>
      <c r="L96" s="3">
        <v>1</v>
      </c>
      <c r="M96" s="3">
        <v>1</v>
      </c>
      <c r="N96" s="3">
        <v>1</v>
      </c>
      <c r="O96" s="3"/>
      <c r="P96" s="3">
        <v>1</v>
      </c>
      <c r="Q96" s="3"/>
      <c r="R96" s="3">
        <v>1</v>
      </c>
      <c r="S96" s="3">
        <v>1</v>
      </c>
      <c r="T96" s="3">
        <v>1</v>
      </c>
      <c r="U96" s="3">
        <v>1</v>
      </c>
      <c r="V96" s="3">
        <v>1</v>
      </c>
      <c r="W96" s="3">
        <v>1</v>
      </c>
      <c r="X96" s="3">
        <v>1</v>
      </c>
      <c r="Y96" s="3">
        <v>1</v>
      </c>
      <c r="Z96" s="3">
        <v>1</v>
      </c>
      <c r="AA96" s="3">
        <v>1</v>
      </c>
      <c r="AB96" s="3">
        <v>1</v>
      </c>
      <c r="AC96" s="3">
        <v>1</v>
      </c>
      <c r="AD96" s="3">
        <v>1</v>
      </c>
      <c r="AE96" s="3">
        <v>1</v>
      </c>
      <c r="AF96" s="3">
        <v>1</v>
      </c>
      <c r="AG96" s="3">
        <v>1</v>
      </c>
      <c r="AH96" s="3">
        <v>1</v>
      </c>
      <c r="AI96" s="3">
        <v>1</v>
      </c>
      <c r="AJ96" s="3">
        <v>1</v>
      </c>
      <c r="AK96" s="3">
        <v>1</v>
      </c>
      <c r="AL96" s="3"/>
      <c r="AM96" s="3">
        <v>1</v>
      </c>
      <c r="AN96" s="3">
        <v>1</v>
      </c>
      <c r="AO96" s="3">
        <v>1</v>
      </c>
      <c r="AP96" s="3">
        <v>1</v>
      </c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 x14ac:dyDescent="0.3">
      <c r="A97" s="3" t="s">
        <v>337</v>
      </c>
      <c r="B97" s="62">
        <v>21</v>
      </c>
      <c r="C97" s="64"/>
      <c r="D97" s="3" t="s">
        <v>13</v>
      </c>
      <c r="E97" s="3">
        <v>1</v>
      </c>
      <c r="F97" s="3">
        <v>1</v>
      </c>
      <c r="G97" s="3"/>
      <c r="H97" s="3"/>
      <c r="I97" s="3">
        <v>1</v>
      </c>
      <c r="J97" s="3">
        <v>1</v>
      </c>
      <c r="K97" s="3">
        <v>1</v>
      </c>
      <c r="L97" s="3">
        <v>1</v>
      </c>
      <c r="M97" s="3">
        <v>1</v>
      </c>
      <c r="N97" s="3">
        <v>1</v>
      </c>
      <c r="O97" s="3"/>
      <c r="P97" s="3">
        <v>1</v>
      </c>
      <c r="Q97" s="3">
        <v>1</v>
      </c>
      <c r="R97" s="3">
        <v>1</v>
      </c>
      <c r="S97" s="3">
        <v>1</v>
      </c>
      <c r="T97" s="3">
        <v>1</v>
      </c>
      <c r="U97" s="3">
        <v>1</v>
      </c>
      <c r="V97" s="3">
        <v>1</v>
      </c>
      <c r="W97" s="3">
        <v>1</v>
      </c>
      <c r="X97" s="3">
        <v>1</v>
      </c>
      <c r="Y97" s="3">
        <v>1</v>
      </c>
      <c r="Z97" s="3">
        <v>1</v>
      </c>
      <c r="AA97" s="3">
        <v>1</v>
      </c>
      <c r="AB97" s="3">
        <v>1</v>
      </c>
      <c r="AC97" s="3">
        <v>1</v>
      </c>
      <c r="AD97" s="3">
        <v>1</v>
      </c>
      <c r="AE97" s="3">
        <v>1</v>
      </c>
      <c r="AF97" s="3">
        <v>1</v>
      </c>
      <c r="AG97" s="3">
        <v>1</v>
      </c>
      <c r="AH97" s="3">
        <v>1</v>
      </c>
      <c r="AI97" s="3">
        <v>1</v>
      </c>
      <c r="AJ97" s="3">
        <v>1</v>
      </c>
      <c r="AK97" s="3">
        <v>1</v>
      </c>
      <c r="AL97" s="3"/>
      <c r="AM97" s="3">
        <v>1</v>
      </c>
      <c r="AN97" s="3">
        <v>1</v>
      </c>
      <c r="AO97" s="3">
        <v>1</v>
      </c>
      <c r="AP97" s="3">
        <v>1</v>
      </c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 x14ac:dyDescent="0.3">
      <c r="A98" s="3" t="s">
        <v>337</v>
      </c>
      <c r="B98" s="62">
        <v>21</v>
      </c>
      <c r="C98" s="64"/>
      <c r="D98" s="3" t="s">
        <v>255</v>
      </c>
      <c r="E98" s="3">
        <v>1</v>
      </c>
      <c r="F98" s="3"/>
      <c r="G98" s="3"/>
      <c r="H98" s="3"/>
      <c r="I98" s="3">
        <v>1</v>
      </c>
      <c r="J98" s="3">
        <v>1</v>
      </c>
      <c r="K98" s="3">
        <v>1</v>
      </c>
      <c r="L98" s="3">
        <v>1</v>
      </c>
      <c r="M98" s="3"/>
      <c r="N98" s="3">
        <v>1</v>
      </c>
      <c r="O98" s="3"/>
      <c r="P98" s="3">
        <v>1</v>
      </c>
      <c r="Q98" s="3">
        <v>1</v>
      </c>
      <c r="R98" s="3">
        <v>1</v>
      </c>
      <c r="S98" s="3">
        <v>1</v>
      </c>
      <c r="T98" s="3"/>
      <c r="U98" s="3"/>
      <c r="V98" s="3">
        <v>1</v>
      </c>
      <c r="W98" s="3">
        <v>1</v>
      </c>
      <c r="X98" s="3">
        <v>1</v>
      </c>
      <c r="Y98" s="3">
        <v>1</v>
      </c>
      <c r="Z98" s="3"/>
      <c r="AA98" s="3">
        <v>1</v>
      </c>
      <c r="AB98" s="3">
        <v>1</v>
      </c>
      <c r="AC98" s="3">
        <v>1</v>
      </c>
      <c r="AD98" s="3"/>
      <c r="AE98" s="3">
        <v>1</v>
      </c>
      <c r="AF98" s="3"/>
      <c r="AG98" s="3"/>
      <c r="AH98" s="3"/>
      <c r="AI98" s="3"/>
      <c r="AJ98" s="3"/>
      <c r="AK98" s="3">
        <v>1</v>
      </c>
      <c r="AL98" s="3"/>
      <c r="AM98" s="3">
        <v>1</v>
      </c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 x14ac:dyDescent="0.3">
      <c r="A99" s="3" t="s">
        <v>337</v>
      </c>
      <c r="B99" s="62">
        <v>21</v>
      </c>
      <c r="C99" s="64"/>
      <c r="D99" s="3" t="s">
        <v>254</v>
      </c>
      <c r="E99" s="3">
        <v>1</v>
      </c>
      <c r="F99" s="3">
        <v>1</v>
      </c>
      <c r="G99" s="3"/>
      <c r="H99" s="3"/>
      <c r="I99" s="3">
        <v>1</v>
      </c>
      <c r="J99" s="3">
        <v>1</v>
      </c>
      <c r="K99" s="3">
        <v>1</v>
      </c>
      <c r="L99" s="3">
        <v>1</v>
      </c>
      <c r="M99" s="3">
        <v>1</v>
      </c>
      <c r="N99" s="3">
        <v>1</v>
      </c>
      <c r="O99" s="3"/>
      <c r="P99" s="3">
        <v>1</v>
      </c>
      <c r="Q99" s="3">
        <v>1</v>
      </c>
      <c r="R99" s="3">
        <v>1</v>
      </c>
      <c r="S99" s="3">
        <v>1</v>
      </c>
      <c r="T99" s="3">
        <v>1</v>
      </c>
      <c r="U99" s="3">
        <v>1</v>
      </c>
      <c r="V99" s="3">
        <v>1</v>
      </c>
      <c r="W99" s="3">
        <v>1</v>
      </c>
      <c r="X99" s="3">
        <v>1</v>
      </c>
      <c r="Y99" s="3">
        <v>1</v>
      </c>
      <c r="Z99" s="3">
        <v>1</v>
      </c>
      <c r="AA99" s="3">
        <v>1</v>
      </c>
      <c r="AB99" s="3">
        <v>1</v>
      </c>
      <c r="AC99" s="3">
        <v>1</v>
      </c>
      <c r="AD99" s="3">
        <v>1</v>
      </c>
      <c r="AE99" s="3">
        <v>1</v>
      </c>
      <c r="AF99" s="3">
        <v>1</v>
      </c>
      <c r="AG99" s="3">
        <v>1</v>
      </c>
      <c r="AH99" s="3">
        <v>1</v>
      </c>
      <c r="AI99" s="3">
        <v>1</v>
      </c>
      <c r="AJ99" s="3">
        <v>1</v>
      </c>
      <c r="AK99" s="3">
        <v>1</v>
      </c>
      <c r="AL99" s="3"/>
      <c r="AM99" s="3">
        <v>1</v>
      </c>
      <c r="AN99" s="3">
        <v>1</v>
      </c>
      <c r="AO99" s="3">
        <v>1</v>
      </c>
      <c r="AP99" s="3">
        <v>1</v>
      </c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 x14ac:dyDescent="0.3">
      <c r="A100" s="3" t="s">
        <v>337</v>
      </c>
      <c r="B100" s="62">
        <v>21</v>
      </c>
      <c r="C100" s="64"/>
      <c r="D100" s="3" t="s">
        <v>65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 x14ac:dyDescent="0.3">
      <c r="A101" s="3" t="s">
        <v>337</v>
      </c>
      <c r="B101" s="62">
        <v>21</v>
      </c>
      <c r="C101" s="64"/>
      <c r="D101" s="3" t="s">
        <v>314</v>
      </c>
      <c r="E101" s="3">
        <v>1</v>
      </c>
      <c r="F101" s="3">
        <v>1</v>
      </c>
      <c r="G101" s="3"/>
      <c r="H101" s="3"/>
      <c r="I101" s="3">
        <v>1</v>
      </c>
      <c r="J101" s="3">
        <v>1</v>
      </c>
      <c r="K101" s="3">
        <v>1</v>
      </c>
      <c r="L101" s="3">
        <v>1</v>
      </c>
      <c r="M101" s="3">
        <v>1</v>
      </c>
      <c r="N101" s="3">
        <v>1</v>
      </c>
      <c r="O101" s="3"/>
      <c r="P101" s="3">
        <v>1</v>
      </c>
      <c r="Q101" s="3">
        <v>1</v>
      </c>
      <c r="R101" s="3"/>
      <c r="S101" s="3"/>
      <c r="T101" s="3"/>
      <c r="U101" s="3">
        <v>1</v>
      </c>
      <c r="V101" s="3">
        <v>1</v>
      </c>
      <c r="W101" s="3"/>
      <c r="X101" s="3">
        <v>1</v>
      </c>
      <c r="Y101" s="3">
        <v>1</v>
      </c>
      <c r="Z101" s="3">
        <v>1</v>
      </c>
      <c r="AA101" s="3">
        <v>1</v>
      </c>
      <c r="AB101" s="3">
        <v>1</v>
      </c>
      <c r="AC101" s="3">
        <v>1</v>
      </c>
      <c r="AD101" s="3">
        <v>1</v>
      </c>
      <c r="AE101" s="3">
        <v>1</v>
      </c>
      <c r="AF101" s="3"/>
      <c r="AG101" s="3">
        <v>1</v>
      </c>
      <c r="AH101" s="3"/>
      <c r="AI101" s="3">
        <v>1</v>
      </c>
      <c r="AJ101" s="3">
        <v>1</v>
      </c>
      <c r="AK101" s="3">
        <v>1</v>
      </c>
      <c r="AL101" s="3"/>
      <c r="AM101" s="3">
        <v>1</v>
      </c>
      <c r="AN101" s="3">
        <v>1</v>
      </c>
      <c r="AO101" s="3"/>
      <c r="AP101" s="3">
        <v>1</v>
      </c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 x14ac:dyDescent="0.3">
      <c r="A102" s="3" t="s">
        <v>337</v>
      </c>
      <c r="B102" s="62">
        <v>21</v>
      </c>
      <c r="C102" s="64"/>
      <c r="D102" s="3" t="s">
        <v>266</v>
      </c>
      <c r="E102" s="3">
        <v>1</v>
      </c>
      <c r="F102" s="3">
        <v>1</v>
      </c>
      <c r="G102" s="3"/>
      <c r="H102" s="3"/>
      <c r="I102" s="3">
        <v>1</v>
      </c>
      <c r="J102" s="3">
        <v>1</v>
      </c>
      <c r="K102" s="3">
        <v>1</v>
      </c>
      <c r="L102" s="3"/>
      <c r="M102" s="3">
        <v>1</v>
      </c>
      <c r="N102" s="3">
        <v>1</v>
      </c>
      <c r="O102" s="3"/>
      <c r="P102" s="3">
        <v>1</v>
      </c>
      <c r="Q102" s="3">
        <v>1</v>
      </c>
      <c r="R102" s="3">
        <v>1</v>
      </c>
      <c r="S102" s="3"/>
      <c r="T102" s="3">
        <v>1</v>
      </c>
      <c r="U102" s="3">
        <v>1</v>
      </c>
      <c r="V102" s="3">
        <v>1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>
        <v>1</v>
      </c>
      <c r="AI102" s="3">
        <v>1</v>
      </c>
      <c r="AJ102" s="3">
        <v>1</v>
      </c>
      <c r="AK102" s="3">
        <v>1</v>
      </c>
      <c r="AL102" s="3"/>
      <c r="AM102" s="3">
        <v>1</v>
      </c>
      <c r="AN102" s="3">
        <v>1</v>
      </c>
      <c r="AO102" s="3">
        <v>1</v>
      </c>
      <c r="AP102" s="3">
        <v>1</v>
      </c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 x14ac:dyDescent="0.3">
      <c r="A103" s="3" t="s">
        <v>337</v>
      </c>
      <c r="B103" s="62">
        <v>21</v>
      </c>
      <c r="C103" s="64"/>
      <c r="D103" s="3" t="s">
        <v>278</v>
      </c>
      <c r="E103" s="3">
        <v>1</v>
      </c>
      <c r="F103" s="3">
        <v>1</v>
      </c>
      <c r="G103" s="3"/>
      <c r="H103" s="3"/>
      <c r="I103" s="3">
        <v>1</v>
      </c>
      <c r="J103" s="3">
        <v>1</v>
      </c>
      <c r="K103" s="3">
        <v>1</v>
      </c>
      <c r="L103" s="3">
        <v>1</v>
      </c>
      <c r="M103" s="3">
        <v>1</v>
      </c>
      <c r="N103" s="3">
        <v>1</v>
      </c>
      <c r="O103" s="3"/>
      <c r="P103" s="3">
        <v>1</v>
      </c>
      <c r="Q103" s="3">
        <v>1</v>
      </c>
      <c r="R103" s="3">
        <v>1</v>
      </c>
      <c r="S103" s="3">
        <v>1</v>
      </c>
      <c r="T103" s="3">
        <v>1</v>
      </c>
      <c r="U103" s="3">
        <v>1</v>
      </c>
      <c r="V103" s="3">
        <v>1</v>
      </c>
      <c r="W103" s="3">
        <v>1</v>
      </c>
      <c r="X103" s="3">
        <v>1</v>
      </c>
      <c r="Y103" s="3">
        <v>1</v>
      </c>
      <c r="Z103" s="3">
        <v>1</v>
      </c>
      <c r="AA103" s="3">
        <v>1</v>
      </c>
      <c r="AB103" s="3">
        <v>1</v>
      </c>
      <c r="AC103" s="3">
        <v>1</v>
      </c>
      <c r="AD103" s="3">
        <v>1</v>
      </c>
      <c r="AE103" s="3">
        <v>1</v>
      </c>
      <c r="AF103" s="3">
        <v>1</v>
      </c>
      <c r="AG103" s="3">
        <v>1</v>
      </c>
      <c r="AH103" s="3">
        <v>1</v>
      </c>
      <c r="AI103" s="3">
        <v>1</v>
      </c>
      <c r="AJ103" s="3">
        <v>1</v>
      </c>
      <c r="AK103" s="3">
        <v>1</v>
      </c>
      <c r="AL103" s="3"/>
      <c r="AM103" s="3">
        <v>1</v>
      </c>
      <c r="AN103" s="3">
        <v>1</v>
      </c>
      <c r="AO103" s="3">
        <v>1</v>
      </c>
      <c r="AP103" s="3">
        <v>1</v>
      </c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 x14ac:dyDescent="0.3">
      <c r="A104" s="3" t="s">
        <v>337</v>
      </c>
      <c r="B104" s="62">
        <v>21</v>
      </c>
      <c r="C104" s="64"/>
      <c r="D104" s="3" t="s">
        <v>23</v>
      </c>
      <c r="E104" s="3">
        <v>1</v>
      </c>
      <c r="F104" s="3">
        <v>1</v>
      </c>
      <c r="G104" s="3"/>
      <c r="H104" s="3"/>
      <c r="I104" s="3">
        <v>1</v>
      </c>
      <c r="J104" s="3">
        <v>1</v>
      </c>
      <c r="K104" s="3">
        <v>1</v>
      </c>
      <c r="L104" s="3">
        <v>1</v>
      </c>
      <c r="M104" s="3">
        <v>1</v>
      </c>
      <c r="N104" s="3">
        <v>1</v>
      </c>
      <c r="O104" s="3"/>
      <c r="P104" s="3">
        <v>1</v>
      </c>
      <c r="Q104" s="3">
        <v>1</v>
      </c>
      <c r="R104" s="3">
        <v>1</v>
      </c>
      <c r="S104" s="3">
        <v>1</v>
      </c>
      <c r="T104" s="3">
        <v>1</v>
      </c>
      <c r="U104" s="3">
        <v>1</v>
      </c>
      <c r="V104" s="3">
        <v>1</v>
      </c>
      <c r="W104" s="3">
        <v>1</v>
      </c>
      <c r="X104" s="3">
        <v>1</v>
      </c>
      <c r="Y104" s="3">
        <v>1</v>
      </c>
      <c r="Z104" s="3">
        <v>1</v>
      </c>
      <c r="AA104" s="3">
        <v>1</v>
      </c>
      <c r="AB104" s="3">
        <v>1</v>
      </c>
      <c r="AC104" s="3">
        <v>1</v>
      </c>
      <c r="AD104" s="3">
        <v>1</v>
      </c>
      <c r="AE104" s="3">
        <v>1</v>
      </c>
      <c r="AF104" s="3">
        <v>1</v>
      </c>
      <c r="AG104" s="3"/>
      <c r="AH104" s="3">
        <v>1</v>
      </c>
      <c r="AI104" s="3">
        <v>1</v>
      </c>
      <c r="AJ104" s="3">
        <v>1</v>
      </c>
      <c r="AK104" s="3">
        <v>1</v>
      </c>
      <c r="AL104" s="3"/>
      <c r="AM104" s="3">
        <v>1</v>
      </c>
      <c r="AN104" s="3">
        <v>1</v>
      </c>
      <c r="AO104" s="3">
        <v>1</v>
      </c>
      <c r="AP104" s="3">
        <v>1</v>
      </c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 x14ac:dyDescent="0.3">
      <c r="A105" s="3" t="s">
        <v>337</v>
      </c>
      <c r="B105" s="62">
        <v>21</v>
      </c>
      <c r="C105" s="64"/>
      <c r="D105" s="3" t="s">
        <v>291</v>
      </c>
      <c r="E105" s="3">
        <v>1</v>
      </c>
      <c r="F105" s="3">
        <v>1</v>
      </c>
      <c r="G105" s="3"/>
      <c r="H105" s="3"/>
      <c r="I105" s="3">
        <v>1</v>
      </c>
      <c r="J105" s="3">
        <v>1</v>
      </c>
      <c r="K105" s="3">
        <v>1</v>
      </c>
      <c r="L105" s="3">
        <v>1</v>
      </c>
      <c r="M105" s="3">
        <v>1</v>
      </c>
      <c r="N105" s="3">
        <v>1</v>
      </c>
      <c r="O105" s="3"/>
      <c r="P105" s="3">
        <v>1</v>
      </c>
      <c r="Q105" s="3">
        <v>1</v>
      </c>
      <c r="R105" s="3">
        <v>1</v>
      </c>
      <c r="S105" s="3">
        <v>1</v>
      </c>
      <c r="T105" s="3">
        <v>1</v>
      </c>
      <c r="U105" s="3">
        <v>1</v>
      </c>
      <c r="V105" s="3">
        <v>1</v>
      </c>
      <c r="W105" s="3">
        <v>1</v>
      </c>
      <c r="X105" s="3">
        <v>1</v>
      </c>
      <c r="Y105" s="3">
        <v>1</v>
      </c>
      <c r="Z105" s="3">
        <v>1</v>
      </c>
      <c r="AA105" s="3">
        <v>1</v>
      </c>
      <c r="AB105" s="3">
        <v>1</v>
      </c>
      <c r="AC105" s="3">
        <v>1</v>
      </c>
      <c r="AD105" s="3">
        <v>1</v>
      </c>
      <c r="AE105" s="3">
        <v>1</v>
      </c>
      <c r="AF105" s="3">
        <v>1</v>
      </c>
      <c r="AG105" s="3">
        <v>1</v>
      </c>
      <c r="AH105" s="3">
        <v>1</v>
      </c>
      <c r="AI105" s="3">
        <v>1</v>
      </c>
      <c r="AJ105" s="3">
        <v>1</v>
      </c>
      <c r="AK105" s="3">
        <v>1</v>
      </c>
      <c r="AL105" s="3"/>
      <c r="AM105" s="3">
        <v>1</v>
      </c>
      <c r="AN105" s="3">
        <v>1</v>
      </c>
      <c r="AO105" s="3">
        <v>1</v>
      </c>
      <c r="AP105" s="3">
        <v>1</v>
      </c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 x14ac:dyDescent="0.3">
      <c r="A106" s="3" t="s">
        <v>337</v>
      </c>
      <c r="B106" s="62">
        <v>21</v>
      </c>
      <c r="C106" s="64"/>
      <c r="D106" s="3" t="s">
        <v>221</v>
      </c>
      <c r="E106" s="3">
        <v>1</v>
      </c>
      <c r="F106" s="3">
        <v>1</v>
      </c>
      <c r="G106" s="3"/>
      <c r="H106" s="3"/>
      <c r="I106" s="3">
        <v>1</v>
      </c>
      <c r="J106" s="3">
        <v>1</v>
      </c>
      <c r="K106" s="3">
        <v>1</v>
      </c>
      <c r="L106" s="3">
        <v>1</v>
      </c>
      <c r="M106" s="3">
        <v>1</v>
      </c>
      <c r="N106" s="3">
        <v>1</v>
      </c>
      <c r="O106" s="3"/>
      <c r="P106" s="3">
        <v>1</v>
      </c>
      <c r="Q106" s="3">
        <v>1</v>
      </c>
      <c r="R106" s="3">
        <v>1</v>
      </c>
      <c r="S106" s="3">
        <v>1</v>
      </c>
      <c r="T106" s="3">
        <v>1</v>
      </c>
      <c r="U106" s="3">
        <v>1</v>
      </c>
      <c r="V106" s="3">
        <v>1</v>
      </c>
      <c r="W106" s="3">
        <v>1</v>
      </c>
      <c r="X106" s="3">
        <v>1</v>
      </c>
      <c r="Y106" s="3">
        <v>1</v>
      </c>
      <c r="Z106" s="3">
        <v>1</v>
      </c>
      <c r="AA106" s="3">
        <v>1</v>
      </c>
      <c r="AB106" s="3">
        <v>1</v>
      </c>
      <c r="AC106" s="3">
        <v>1</v>
      </c>
      <c r="AD106" s="3">
        <v>1</v>
      </c>
      <c r="AE106" s="3">
        <v>1</v>
      </c>
      <c r="AF106" s="3">
        <v>1</v>
      </c>
      <c r="AG106" s="3">
        <v>1</v>
      </c>
      <c r="AH106" s="3">
        <v>1</v>
      </c>
      <c r="AI106" s="3">
        <v>1</v>
      </c>
      <c r="AJ106" s="3">
        <v>1</v>
      </c>
      <c r="AK106" s="3">
        <v>1</v>
      </c>
      <c r="AL106" s="3"/>
      <c r="AM106" s="3">
        <v>1</v>
      </c>
      <c r="AN106" s="3">
        <v>1</v>
      </c>
      <c r="AO106" s="3">
        <v>1</v>
      </c>
      <c r="AP106" s="3">
        <v>1</v>
      </c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 x14ac:dyDescent="0.3">
      <c r="A107" s="3" t="s">
        <v>337</v>
      </c>
      <c r="B107" s="62">
        <v>21</v>
      </c>
      <c r="C107" s="64"/>
      <c r="D107" s="3" t="s">
        <v>288</v>
      </c>
      <c r="E107" s="3">
        <v>1</v>
      </c>
      <c r="F107" s="3">
        <v>1</v>
      </c>
      <c r="G107" s="3"/>
      <c r="H107" s="3"/>
      <c r="I107" s="3">
        <v>1</v>
      </c>
      <c r="J107" s="3">
        <v>1</v>
      </c>
      <c r="K107" s="3">
        <v>1</v>
      </c>
      <c r="L107" s="3">
        <v>1</v>
      </c>
      <c r="M107" s="3">
        <v>1</v>
      </c>
      <c r="N107" s="3">
        <v>1</v>
      </c>
      <c r="O107" s="3"/>
      <c r="P107" s="3">
        <v>1</v>
      </c>
      <c r="Q107" s="3">
        <v>1</v>
      </c>
      <c r="R107" s="3">
        <v>1</v>
      </c>
      <c r="S107" s="3">
        <v>1</v>
      </c>
      <c r="T107" s="3">
        <v>1</v>
      </c>
      <c r="U107" s="3">
        <v>1</v>
      </c>
      <c r="V107" s="3">
        <v>1</v>
      </c>
      <c r="W107" s="3">
        <v>1</v>
      </c>
      <c r="X107" s="3">
        <v>1</v>
      </c>
      <c r="Y107" s="3">
        <v>1</v>
      </c>
      <c r="Z107" s="3">
        <v>1</v>
      </c>
      <c r="AA107" s="3">
        <v>1</v>
      </c>
      <c r="AB107" s="3">
        <v>1</v>
      </c>
      <c r="AC107" s="3"/>
      <c r="AD107" s="3">
        <v>1</v>
      </c>
      <c r="AE107" s="3">
        <v>1</v>
      </c>
      <c r="AF107" s="3">
        <v>1</v>
      </c>
      <c r="AG107" s="3">
        <v>1</v>
      </c>
      <c r="AH107" s="3">
        <v>1</v>
      </c>
      <c r="AI107" s="3">
        <v>1</v>
      </c>
      <c r="AJ107" s="3">
        <v>1</v>
      </c>
      <c r="AK107" s="3">
        <v>1</v>
      </c>
      <c r="AL107" s="3"/>
      <c r="AM107" s="3">
        <v>1</v>
      </c>
      <c r="AN107" s="3">
        <v>1</v>
      </c>
      <c r="AO107" s="3">
        <v>1</v>
      </c>
      <c r="AP107" s="3">
        <v>1</v>
      </c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 x14ac:dyDescent="0.3">
      <c r="A108" s="3" t="s">
        <v>337</v>
      </c>
      <c r="B108" s="62">
        <v>21</v>
      </c>
      <c r="C108" s="64"/>
      <c r="D108" s="3" t="s">
        <v>29</v>
      </c>
      <c r="E108" s="3"/>
      <c r="F108" s="3"/>
      <c r="G108" s="3"/>
      <c r="H108" s="3"/>
      <c r="I108" s="3"/>
      <c r="J108" s="3">
        <v>1</v>
      </c>
      <c r="K108" s="3">
        <v>1</v>
      </c>
      <c r="L108" s="3"/>
      <c r="M108" s="3"/>
      <c r="N108" s="3">
        <v>1</v>
      </c>
      <c r="O108" s="3"/>
      <c r="P108" s="3"/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  <c r="Y108" s="3">
        <v>1</v>
      </c>
      <c r="Z108" s="3"/>
      <c r="AA108" s="3">
        <v>1</v>
      </c>
      <c r="AB108" s="3"/>
      <c r="AC108" s="3"/>
      <c r="AD108" s="3">
        <v>1</v>
      </c>
      <c r="AE108" s="3">
        <v>1</v>
      </c>
      <c r="AF108" s="3">
        <v>1</v>
      </c>
      <c r="AG108" s="3">
        <v>1</v>
      </c>
      <c r="AH108" s="3">
        <v>1</v>
      </c>
      <c r="AI108" s="3">
        <v>1</v>
      </c>
      <c r="AJ108" s="3">
        <v>1</v>
      </c>
      <c r="AK108" s="3">
        <v>1</v>
      </c>
      <c r="AL108" s="3"/>
      <c r="AM108" s="3">
        <v>1</v>
      </c>
      <c r="AN108" s="3">
        <v>1</v>
      </c>
      <c r="AO108" s="3">
        <v>1</v>
      </c>
      <c r="AP108" s="3">
        <v>1</v>
      </c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 x14ac:dyDescent="0.3">
      <c r="A109" s="3" t="s">
        <v>337</v>
      </c>
      <c r="B109" s="62">
        <v>21</v>
      </c>
      <c r="C109" s="64"/>
      <c r="D109" s="3" t="s">
        <v>315</v>
      </c>
      <c r="E109" s="3"/>
      <c r="F109" s="3"/>
      <c r="G109" s="3"/>
      <c r="H109" s="3"/>
      <c r="I109" s="3"/>
      <c r="J109" s="3"/>
      <c r="K109" s="3"/>
      <c r="L109" s="3"/>
      <c r="M109" s="3">
        <v>1</v>
      </c>
      <c r="N109" s="3"/>
      <c r="O109" s="3"/>
      <c r="P109" s="3"/>
      <c r="Q109" s="3"/>
      <c r="R109" s="3"/>
      <c r="S109" s="3"/>
      <c r="T109" s="3"/>
      <c r="U109" s="3">
        <v>1</v>
      </c>
      <c r="V109" s="3">
        <v>1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>
        <v>1</v>
      </c>
      <c r="AH109" s="3"/>
      <c r="AI109" s="3"/>
      <c r="AJ109" s="3">
        <v>1</v>
      </c>
      <c r="AK109" s="3"/>
      <c r="AL109" s="3"/>
      <c r="AM109" s="3">
        <v>1</v>
      </c>
      <c r="AN109" s="3"/>
      <c r="AO109" s="3"/>
      <c r="AP109" s="3">
        <v>1</v>
      </c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 x14ac:dyDescent="0.3">
      <c r="A110" s="3" t="s">
        <v>337</v>
      </c>
      <c r="B110" s="62">
        <v>22</v>
      </c>
      <c r="C110" s="64"/>
      <c r="D110" s="3" t="s">
        <v>26</v>
      </c>
      <c r="E110" s="3">
        <v>1</v>
      </c>
      <c r="F110" s="3">
        <v>1</v>
      </c>
      <c r="G110" s="3"/>
      <c r="H110" s="3"/>
      <c r="I110" s="3">
        <v>1</v>
      </c>
      <c r="J110" s="3">
        <v>1</v>
      </c>
      <c r="K110" s="3">
        <v>1</v>
      </c>
      <c r="L110" s="3">
        <v>1</v>
      </c>
      <c r="M110" s="3">
        <v>1</v>
      </c>
      <c r="N110" s="3">
        <v>1</v>
      </c>
      <c r="O110" s="3"/>
      <c r="P110" s="3">
        <v>1</v>
      </c>
      <c r="Q110" s="3">
        <v>1</v>
      </c>
      <c r="R110" s="3">
        <v>1</v>
      </c>
      <c r="S110" s="3">
        <v>1</v>
      </c>
      <c r="T110" s="3">
        <v>1</v>
      </c>
      <c r="U110" s="3">
        <v>1</v>
      </c>
      <c r="V110" s="3">
        <v>1</v>
      </c>
      <c r="W110" s="3"/>
      <c r="X110" s="3"/>
      <c r="Y110" s="3">
        <v>1</v>
      </c>
      <c r="Z110" s="3">
        <v>1</v>
      </c>
      <c r="AA110" s="3"/>
      <c r="AB110" s="3">
        <v>1</v>
      </c>
      <c r="AC110" s="3">
        <v>1</v>
      </c>
      <c r="AD110" s="3">
        <v>1</v>
      </c>
      <c r="AE110" s="3"/>
      <c r="AF110" s="3">
        <v>1</v>
      </c>
      <c r="AG110" s="3">
        <v>1</v>
      </c>
      <c r="AH110" s="3">
        <v>1</v>
      </c>
      <c r="AI110" s="3"/>
      <c r="AJ110" s="3">
        <v>1</v>
      </c>
      <c r="AK110" s="3">
        <v>1</v>
      </c>
      <c r="AL110" s="3"/>
      <c r="AM110" s="3"/>
      <c r="AN110" s="3">
        <v>1</v>
      </c>
      <c r="AO110" s="3">
        <v>1</v>
      </c>
      <c r="AP110" s="3">
        <v>1</v>
      </c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 x14ac:dyDescent="0.3">
      <c r="A111" s="3" t="s">
        <v>337</v>
      </c>
      <c r="B111" s="62">
        <v>22</v>
      </c>
      <c r="C111" s="64"/>
      <c r="D111" s="3" t="s">
        <v>21</v>
      </c>
      <c r="E111" s="3">
        <v>1</v>
      </c>
      <c r="F111" s="3"/>
      <c r="G111" s="3"/>
      <c r="H111" s="3"/>
      <c r="I111" s="3"/>
      <c r="J111" s="3">
        <v>1</v>
      </c>
      <c r="K111" s="3">
        <v>1</v>
      </c>
      <c r="L111" s="3"/>
      <c r="M111" s="3">
        <v>1</v>
      </c>
      <c r="N111" s="3">
        <v>1</v>
      </c>
      <c r="O111" s="3"/>
      <c r="P111" s="3">
        <v>1</v>
      </c>
      <c r="Q111" s="3">
        <v>1</v>
      </c>
      <c r="R111" s="3">
        <v>1</v>
      </c>
      <c r="S111" s="3">
        <v>1</v>
      </c>
      <c r="T111" s="3">
        <v>1</v>
      </c>
      <c r="U111" s="3">
        <v>1</v>
      </c>
      <c r="V111" s="3">
        <v>1</v>
      </c>
      <c r="W111" s="3">
        <v>1</v>
      </c>
      <c r="X111" s="3">
        <v>1</v>
      </c>
      <c r="Y111" s="3">
        <v>1</v>
      </c>
      <c r="Z111" s="3">
        <v>1</v>
      </c>
      <c r="AA111" s="3"/>
      <c r="AB111" s="3">
        <v>1</v>
      </c>
      <c r="AC111" s="3"/>
      <c r="AD111" s="3">
        <v>1</v>
      </c>
      <c r="AE111" s="3">
        <v>1</v>
      </c>
      <c r="AF111" s="3">
        <v>1</v>
      </c>
      <c r="AG111" s="3">
        <v>1</v>
      </c>
      <c r="AH111" s="3">
        <v>1</v>
      </c>
      <c r="AI111" s="3">
        <v>1</v>
      </c>
      <c r="AJ111" s="3">
        <v>1</v>
      </c>
      <c r="AK111" s="3">
        <v>1</v>
      </c>
      <c r="AL111" s="3"/>
      <c r="AM111" s="3"/>
      <c r="AN111" s="3">
        <v>1</v>
      </c>
      <c r="AO111" s="3">
        <v>1</v>
      </c>
      <c r="AP111" s="3">
        <v>1</v>
      </c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 x14ac:dyDescent="0.3">
      <c r="A112" s="3" t="s">
        <v>337</v>
      </c>
      <c r="B112" s="62">
        <v>22</v>
      </c>
      <c r="C112" s="64"/>
      <c r="D112" s="3" t="s">
        <v>67</v>
      </c>
      <c r="E112" s="3">
        <v>1</v>
      </c>
      <c r="F112" s="3">
        <v>1</v>
      </c>
      <c r="G112" s="3"/>
      <c r="H112" s="3"/>
      <c r="I112" s="3">
        <v>1</v>
      </c>
      <c r="J112" s="3">
        <v>1</v>
      </c>
      <c r="K112" s="3">
        <v>1</v>
      </c>
      <c r="L112" s="3">
        <v>1</v>
      </c>
      <c r="M112" s="3">
        <v>1</v>
      </c>
      <c r="N112" s="3">
        <v>1</v>
      </c>
      <c r="O112" s="3"/>
      <c r="P112" s="3">
        <v>1</v>
      </c>
      <c r="Q112" s="3">
        <v>1</v>
      </c>
      <c r="R112" s="3">
        <v>1</v>
      </c>
      <c r="S112" s="3">
        <v>1</v>
      </c>
      <c r="T112" s="3">
        <v>1</v>
      </c>
      <c r="U112" s="3">
        <v>1</v>
      </c>
      <c r="V112" s="3">
        <v>1</v>
      </c>
      <c r="W112" s="3">
        <v>1</v>
      </c>
      <c r="X112" s="3">
        <v>1</v>
      </c>
      <c r="Y112" s="3">
        <v>1</v>
      </c>
      <c r="Z112" s="3">
        <v>1</v>
      </c>
      <c r="AA112" s="3">
        <v>1</v>
      </c>
      <c r="AB112" s="3">
        <v>1</v>
      </c>
      <c r="AC112" s="3">
        <v>1</v>
      </c>
      <c r="AD112" s="3">
        <v>1</v>
      </c>
      <c r="AE112" s="3">
        <v>1</v>
      </c>
      <c r="AF112" s="3">
        <v>1</v>
      </c>
      <c r="AG112" s="3">
        <v>1</v>
      </c>
      <c r="AH112" s="3">
        <v>1</v>
      </c>
      <c r="AI112" s="3">
        <v>1</v>
      </c>
      <c r="AJ112" s="3">
        <v>1</v>
      </c>
      <c r="AK112" s="3">
        <v>1</v>
      </c>
      <c r="AL112" s="3"/>
      <c r="AM112" s="3">
        <v>1</v>
      </c>
      <c r="AN112" s="3">
        <v>1</v>
      </c>
      <c r="AO112" s="3">
        <v>1</v>
      </c>
      <c r="AP112" s="3">
        <v>1</v>
      </c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 x14ac:dyDescent="0.3">
      <c r="A113" s="3" t="s">
        <v>337</v>
      </c>
      <c r="B113" s="62">
        <v>22</v>
      </c>
      <c r="C113" s="64"/>
      <c r="D113" s="3" t="s">
        <v>130</v>
      </c>
      <c r="E113" s="3">
        <v>1</v>
      </c>
      <c r="F113" s="3">
        <v>1</v>
      </c>
      <c r="G113" s="3"/>
      <c r="H113" s="3"/>
      <c r="I113" s="3">
        <v>1</v>
      </c>
      <c r="J113" s="3">
        <v>1</v>
      </c>
      <c r="K113" s="3">
        <v>1</v>
      </c>
      <c r="L113" s="3">
        <v>1</v>
      </c>
      <c r="M113" s="3">
        <v>1</v>
      </c>
      <c r="N113" s="3">
        <v>1</v>
      </c>
      <c r="O113" s="3"/>
      <c r="P113" s="3">
        <v>1</v>
      </c>
      <c r="Q113" s="3">
        <v>1</v>
      </c>
      <c r="R113" s="3">
        <v>1</v>
      </c>
      <c r="S113" s="3">
        <v>1</v>
      </c>
      <c r="T113" s="3">
        <v>1</v>
      </c>
      <c r="U113" s="3">
        <v>1</v>
      </c>
      <c r="V113" s="3"/>
      <c r="W113" s="3">
        <v>1</v>
      </c>
      <c r="X113" s="3">
        <v>1</v>
      </c>
      <c r="Y113" s="3"/>
      <c r="Z113" s="3">
        <v>1</v>
      </c>
      <c r="AA113" s="3">
        <v>1</v>
      </c>
      <c r="AB113" s="3">
        <v>1</v>
      </c>
      <c r="AC113" s="3">
        <v>1</v>
      </c>
      <c r="AD113" s="3">
        <v>1</v>
      </c>
      <c r="AE113" s="3"/>
      <c r="AF113" s="3"/>
      <c r="AG113" s="3"/>
      <c r="AH113" s="3">
        <v>1</v>
      </c>
      <c r="AI113" s="3">
        <v>1</v>
      </c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 x14ac:dyDescent="0.3">
      <c r="A114" s="3" t="s">
        <v>337</v>
      </c>
      <c r="B114" s="62">
        <v>22</v>
      </c>
      <c r="C114" s="64"/>
      <c r="D114" s="3" t="s">
        <v>250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 x14ac:dyDescent="0.3">
      <c r="A115" s="3" t="s">
        <v>337</v>
      </c>
      <c r="B115" s="62">
        <v>22</v>
      </c>
      <c r="C115" s="64"/>
      <c r="D115" s="3" t="s">
        <v>179</v>
      </c>
      <c r="E115" s="3">
        <v>1</v>
      </c>
      <c r="F115" s="3">
        <v>1</v>
      </c>
      <c r="G115" s="3"/>
      <c r="H115" s="3"/>
      <c r="I115" s="3">
        <v>1</v>
      </c>
      <c r="J115" s="3">
        <v>1</v>
      </c>
      <c r="K115" s="3">
        <v>1</v>
      </c>
      <c r="L115" s="3">
        <v>1</v>
      </c>
      <c r="M115" s="3">
        <v>1</v>
      </c>
      <c r="N115" s="3">
        <v>1</v>
      </c>
      <c r="O115" s="3"/>
      <c r="P115" s="3">
        <v>1</v>
      </c>
      <c r="Q115" s="3">
        <v>1</v>
      </c>
      <c r="R115" s="3">
        <v>1</v>
      </c>
      <c r="S115" s="3">
        <v>1</v>
      </c>
      <c r="T115" s="3">
        <v>1</v>
      </c>
      <c r="U115" s="3">
        <v>1</v>
      </c>
      <c r="V115" s="3">
        <v>1</v>
      </c>
      <c r="W115" s="3">
        <v>1</v>
      </c>
      <c r="X115" s="3">
        <v>1</v>
      </c>
      <c r="Y115" s="3">
        <v>1</v>
      </c>
      <c r="Z115" s="3">
        <v>1</v>
      </c>
      <c r="AA115" s="3">
        <v>1</v>
      </c>
      <c r="AB115" s="3">
        <v>1</v>
      </c>
      <c r="AC115" s="3">
        <v>1</v>
      </c>
      <c r="AD115" s="3"/>
      <c r="AE115" s="3"/>
      <c r="AF115" s="3"/>
      <c r="AG115" s="3"/>
      <c r="AH115" s="3"/>
      <c r="AI115" s="3"/>
      <c r="AJ115" s="3">
        <v>1</v>
      </c>
      <c r="AK115" s="3">
        <v>1</v>
      </c>
      <c r="AL115" s="3"/>
      <c r="AM115" s="3">
        <v>1</v>
      </c>
      <c r="AN115" s="3">
        <v>1</v>
      </c>
      <c r="AO115" s="3">
        <v>1</v>
      </c>
      <c r="AP115" s="3">
        <v>1</v>
      </c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 x14ac:dyDescent="0.3">
      <c r="A116" s="3" t="s">
        <v>337</v>
      </c>
      <c r="B116" s="62">
        <v>22</v>
      </c>
      <c r="C116" s="64"/>
      <c r="D116" s="3" t="s">
        <v>258</v>
      </c>
      <c r="E116" s="3"/>
      <c r="F116" s="3">
        <v>1</v>
      </c>
      <c r="G116" s="3"/>
      <c r="H116" s="3"/>
      <c r="I116" s="3"/>
      <c r="J116" s="3">
        <v>1</v>
      </c>
      <c r="K116" s="3">
        <v>1</v>
      </c>
      <c r="L116" s="3">
        <v>1</v>
      </c>
      <c r="M116" s="3"/>
      <c r="N116" s="3">
        <v>1</v>
      </c>
      <c r="O116" s="3"/>
      <c r="P116" s="3">
        <v>1</v>
      </c>
      <c r="Q116" s="3"/>
      <c r="R116" s="3">
        <v>1</v>
      </c>
      <c r="S116" s="3">
        <v>1</v>
      </c>
      <c r="T116" s="3">
        <v>1</v>
      </c>
      <c r="U116" s="3"/>
      <c r="V116" s="3"/>
      <c r="W116" s="3">
        <v>1</v>
      </c>
      <c r="X116" s="3">
        <v>1</v>
      </c>
      <c r="Y116" s="3"/>
      <c r="Z116" s="3">
        <v>1</v>
      </c>
      <c r="AA116" s="3">
        <v>1</v>
      </c>
      <c r="AB116" s="3">
        <v>1</v>
      </c>
      <c r="AC116" s="3"/>
      <c r="AD116" s="3">
        <v>1</v>
      </c>
      <c r="AE116" s="3">
        <v>1</v>
      </c>
      <c r="AF116" s="3">
        <v>1</v>
      </c>
      <c r="AG116" s="3"/>
      <c r="AH116" s="3">
        <v>1</v>
      </c>
      <c r="AI116" s="3">
        <v>1</v>
      </c>
      <c r="AJ116" s="3">
        <v>1</v>
      </c>
      <c r="AK116" s="3"/>
      <c r="AL116" s="3"/>
      <c r="AM116" s="3">
        <v>1</v>
      </c>
      <c r="AN116" s="3"/>
      <c r="AO116" s="3"/>
      <c r="AP116" s="3">
        <v>1</v>
      </c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 x14ac:dyDescent="0.3">
      <c r="A117" s="3" t="s">
        <v>337</v>
      </c>
      <c r="B117" s="62">
        <v>22</v>
      </c>
      <c r="C117" s="64"/>
      <c r="D117" s="3" t="s">
        <v>105</v>
      </c>
      <c r="E117" s="3">
        <v>1</v>
      </c>
      <c r="F117" s="3">
        <v>1</v>
      </c>
      <c r="G117" s="3"/>
      <c r="H117" s="3"/>
      <c r="I117" s="3">
        <v>1</v>
      </c>
      <c r="J117" s="3">
        <v>1</v>
      </c>
      <c r="K117" s="3">
        <v>1</v>
      </c>
      <c r="L117" s="3">
        <v>1</v>
      </c>
      <c r="M117" s="3">
        <v>1</v>
      </c>
      <c r="N117" s="3">
        <v>1</v>
      </c>
      <c r="O117" s="3"/>
      <c r="P117" s="3">
        <v>1</v>
      </c>
      <c r="Q117" s="3">
        <v>1</v>
      </c>
      <c r="R117" s="3">
        <v>1</v>
      </c>
      <c r="S117" s="3">
        <v>1</v>
      </c>
      <c r="T117" s="3">
        <v>1</v>
      </c>
      <c r="U117" s="3">
        <v>1</v>
      </c>
      <c r="V117" s="3">
        <v>1</v>
      </c>
      <c r="W117" s="3">
        <v>1</v>
      </c>
      <c r="X117" s="3">
        <v>1</v>
      </c>
      <c r="Y117" s="3">
        <v>1</v>
      </c>
      <c r="Z117" s="3">
        <v>1</v>
      </c>
      <c r="AA117" s="3">
        <v>1</v>
      </c>
      <c r="AB117" s="3">
        <v>1</v>
      </c>
      <c r="AC117" s="3">
        <v>1</v>
      </c>
      <c r="AD117" s="3">
        <v>1</v>
      </c>
      <c r="AE117" s="3">
        <v>1</v>
      </c>
      <c r="AF117" s="3">
        <v>1</v>
      </c>
      <c r="AG117" s="3">
        <v>1</v>
      </c>
      <c r="AH117" s="3"/>
      <c r="AI117" s="3">
        <v>1</v>
      </c>
      <c r="AJ117" s="3">
        <v>1</v>
      </c>
      <c r="AK117" s="3">
        <v>1</v>
      </c>
      <c r="AL117" s="3"/>
      <c r="AM117" s="3">
        <v>1</v>
      </c>
      <c r="AN117" s="3">
        <v>1</v>
      </c>
      <c r="AO117" s="3">
        <v>1</v>
      </c>
      <c r="AP117" s="3">
        <v>1</v>
      </c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 x14ac:dyDescent="0.3">
      <c r="A118" s="3" t="s">
        <v>337</v>
      </c>
      <c r="B118" s="62">
        <v>22</v>
      </c>
      <c r="C118" s="64"/>
      <c r="D118" s="3" t="s">
        <v>214</v>
      </c>
      <c r="E118" s="3">
        <v>1</v>
      </c>
      <c r="F118" s="3">
        <v>1</v>
      </c>
      <c r="G118" s="3"/>
      <c r="H118" s="3"/>
      <c r="I118" s="3"/>
      <c r="J118" s="3">
        <v>1</v>
      </c>
      <c r="K118" s="3"/>
      <c r="L118" s="3"/>
      <c r="M118" s="3"/>
      <c r="N118" s="3">
        <v>1</v>
      </c>
      <c r="O118" s="3"/>
      <c r="P118" s="3">
        <v>1</v>
      </c>
      <c r="Q118" s="3">
        <v>1</v>
      </c>
      <c r="R118" s="3">
        <v>1</v>
      </c>
      <c r="S118" s="3">
        <v>1</v>
      </c>
      <c r="T118" s="3">
        <v>1</v>
      </c>
      <c r="U118" s="3"/>
      <c r="V118" s="3"/>
      <c r="W118" s="3">
        <v>1</v>
      </c>
      <c r="X118" s="3">
        <v>1</v>
      </c>
      <c r="Y118" s="3">
        <v>1</v>
      </c>
      <c r="Z118" s="3"/>
      <c r="AA118" s="3">
        <v>1</v>
      </c>
      <c r="AB118" s="3"/>
      <c r="AC118" s="3">
        <v>1</v>
      </c>
      <c r="AD118" s="3"/>
      <c r="AE118" s="3">
        <v>1</v>
      </c>
      <c r="AF118" s="3"/>
      <c r="AG118" s="3"/>
      <c r="AH118" s="3"/>
      <c r="AI118" s="3"/>
      <c r="AJ118" s="3">
        <v>1</v>
      </c>
      <c r="AK118" s="3"/>
      <c r="AL118" s="3"/>
      <c r="AM118" s="3">
        <v>1</v>
      </c>
      <c r="AN118" s="3">
        <v>1</v>
      </c>
      <c r="AO118" s="3">
        <v>1</v>
      </c>
      <c r="AP118" s="3">
        <v>1</v>
      </c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 x14ac:dyDescent="0.3">
      <c r="A119" s="3" t="s">
        <v>337</v>
      </c>
      <c r="B119" s="62">
        <v>22</v>
      </c>
      <c r="C119" s="64"/>
      <c r="D119" s="3" t="s">
        <v>18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 x14ac:dyDescent="0.3">
      <c r="A120" s="3" t="s">
        <v>337</v>
      </c>
      <c r="B120" s="62">
        <v>22</v>
      </c>
      <c r="C120" s="64"/>
      <c r="D120" s="3" t="s">
        <v>276</v>
      </c>
      <c r="E120" s="3">
        <v>1</v>
      </c>
      <c r="F120" s="3">
        <v>1</v>
      </c>
      <c r="G120" s="3"/>
      <c r="H120" s="3"/>
      <c r="I120" s="3">
        <v>1</v>
      </c>
      <c r="J120" s="3">
        <v>1</v>
      </c>
      <c r="K120" s="3">
        <v>1</v>
      </c>
      <c r="L120" s="3">
        <v>1</v>
      </c>
      <c r="M120" s="3">
        <v>1</v>
      </c>
      <c r="N120" s="3">
        <v>1</v>
      </c>
      <c r="O120" s="3"/>
      <c r="P120" s="3">
        <v>1</v>
      </c>
      <c r="Q120" s="3">
        <v>1</v>
      </c>
      <c r="R120" s="3">
        <v>1</v>
      </c>
      <c r="S120" s="3">
        <v>1</v>
      </c>
      <c r="T120" s="3">
        <v>1</v>
      </c>
      <c r="U120" s="3">
        <v>1</v>
      </c>
      <c r="V120" s="3"/>
      <c r="W120" s="3">
        <v>1</v>
      </c>
      <c r="X120" s="3">
        <v>1</v>
      </c>
      <c r="Y120" s="3">
        <v>1</v>
      </c>
      <c r="Z120" s="3">
        <v>1</v>
      </c>
      <c r="AA120" s="3">
        <v>1</v>
      </c>
      <c r="AB120" s="3">
        <v>1</v>
      </c>
      <c r="AC120" s="3">
        <v>1</v>
      </c>
      <c r="AD120" s="3">
        <v>1</v>
      </c>
      <c r="AE120" s="3">
        <v>1</v>
      </c>
      <c r="AF120" s="3"/>
      <c r="AG120" s="3">
        <v>1</v>
      </c>
      <c r="AH120" s="3">
        <v>1</v>
      </c>
      <c r="AI120" s="3">
        <v>1</v>
      </c>
      <c r="AJ120" s="3">
        <v>1</v>
      </c>
      <c r="AK120" s="3">
        <v>1</v>
      </c>
      <c r="AL120" s="3"/>
      <c r="AM120" s="3"/>
      <c r="AN120" s="3">
        <v>1</v>
      </c>
      <c r="AO120" s="3">
        <v>1</v>
      </c>
      <c r="AP120" s="3">
        <v>1</v>
      </c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 x14ac:dyDescent="0.3">
      <c r="A121" s="3" t="s">
        <v>337</v>
      </c>
      <c r="B121" s="62">
        <v>22</v>
      </c>
      <c r="C121" s="64"/>
      <c r="D121" s="3" t="s">
        <v>11</v>
      </c>
      <c r="E121" s="3">
        <v>1</v>
      </c>
      <c r="F121" s="3">
        <v>1</v>
      </c>
      <c r="G121" s="3"/>
      <c r="H121" s="3"/>
      <c r="I121" s="3">
        <v>1</v>
      </c>
      <c r="J121" s="3">
        <v>1</v>
      </c>
      <c r="K121" s="3">
        <v>1</v>
      </c>
      <c r="L121" s="3">
        <v>1</v>
      </c>
      <c r="M121" s="3">
        <v>1</v>
      </c>
      <c r="N121" s="3">
        <v>1</v>
      </c>
      <c r="O121" s="3"/>
      <c r="P121" s="3">
        <v>1</v>
      </c>
      <c r="Q121" s="3">
        <v>1</v>
      </c>
      <c r="R121" s="3"/>
      <c r="S121" s="3">
        <v>1</v>
      </c>
      <c r="T121" s="3">
        <v>1</v>
      </c>
      <c r="U121" s="3">
        <v>1</v>
      </c>
      <c r="V121" s="3">
        <v>1</v>
      </c>
      <c r="W121" s="3">
        <v>1</v>
      </c>
      <c r="X121" s="3">
        <v>1</v>
      </c>
      <c r="Y121" s="3">
        <v>1</v>
      </c>
      <c r="Z121" s="3">
        <v>1</v>
      </c>
      <c r="AA121" s="3">
        <v>1</v>
      </c>
      <c r="AB121" s="3">
        <v>1</v>
      </c>
      <c r="AC121" s="3">
        <v>1</v>
      </c>
      <c r="AD121" s="3">
        <v>1</v>
      </c>
      <c r="AE121" s="3"/>
      <c r="AF121" s="3"/>
      <c r="AG121" s="3">
        <v>1</v>
      </c>
      <c r="AH121" s="3">
        <v>1</v>
      </c>
      <c r="AI121" s="3">
        <v>1</v>
      </c>
      <c r="AJ121" s="3">
        <v>1</v>
      </c>
      <c r="AK121" s="3">
        <v>1</v>
      </c>
      <c r="AL121" s="3"/>
      <c r="AM121" s="3">
        <v>1</v>
      </c>
      <c r="AN121" s="3">
        <v>1</v>
      </c>
      <c r="AO121" s="3">
        <v>1</v>
      </c>
      <c r="AP121" s="3">
        <v>1</v>
      </c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 x14ac:dyDescent="0.3">
      <c r="A122" s="3" t="s">
        <v>337</v>
      </c>
      <c r="B122" s="62">
        <v>22</v>
      </c>
      <c r="C122" s="64"/>
      <c r="D122" s="3" t="s">
        <v>102</v>
      </c>
      <c r="E122" s="3">
        <v>1</v>
      </c>
      <c r="F122" s="3">
        <v>1</v>
      </c>
      <c r="G122" s="3"/>
      <c r="H122" s="3"/>
      <c r="I122" s="3">
        <v>1</v>
      </c>
      <c r="J122" s="3"/>
      <c r="K122" s="3"/>
      <c r="L122" s="3">
        <v>1</v>
      </c>
      <c r="M122" s="3">
        <v>1</v>
      </c>
      <c r="N122" s="3">
        <v>1</v>
      </c>
      <c r="O122" s="3"/>
      <c r="P122" s="3">
        <v>1</v>
      </c>
      <c r="Q122" s="3">
        <v>1</v>
      </c>
      <c r="R122" s="3">
        <v>1</v>
      </c>
      <c r="S122" s="3">
        <v>1</v>
      </c>
      <c r="T122" s="3">
        <v>1</v>
      </c>
      <c r="U122" s="3">
        <v>1</v>
      </c>
      <c r="V122" s="3">
        <v>1</v>
      </c>
      <c r="W122" s="3">
        <v>1</v>
      </c>
      <c r="X122" s="3">
        <v>1</v>
      </c>
      <c r="Y122" s="3">
        <v>1</v>
      </c>
      <c r="Z122" s="3">
        <v>1</v>
      </c>
      <c r="AA122" s="3">
        <v>1</v>
      </c>
      <c r="AB122" s="3">
        <v>1</v>
      </c>
      <c r="AC122" s="3">
        <v>1</v>
      </c>
      <c r="AD122" s="3">
        <v>1</v>
      </c>
      <c r="AE122" s="3">
        <v>1</v>
      </c>
      <c r="AF122" s="3">
        <v>1</v>
      </c>
      <c r="AG122" s="3">
        <v>1</v>
      </c>
      <c r="AH122" s="3">
        <v>1</v>
      </c>
      <c r="AI122" s="3">
        <v>1</v>
      </c>
      <c r="AJ122" s="3">
        <v>1</v>
      </c>
      <c r="AK122" s="3">
        <v>1</v>
      </c>
      <c r="AL122" s="3"/>
      <c r="AM122" s="3">
        <v>1</v>
      </c>
      <c r="AN122" s="3">
        <v>1</v>
      </c>
      <c r="AO122" s="3">
        <v>1</v>
      </c>
      <c r="AP122" s="3">
        <v>1</v>
      </c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 x14ac:dyDescent="0.3">
      <c r="A123" s="3" t="s">
        <v>337</v>
      </c>
      <c r="B123" s="62">
        <v>22</v>
      </c>
      <c r="C123" s="64"/>
      <c r="D123" s="3" t="s">
        <v>103</v>
      </c>
      <c r="E123" s="3">
        <v>1</v>
      </c>
      <c r="F123" s="3">
        <v>1</v>
      </c>
      <c r="G123" s="3"/>
      <c r="H123" s="3"/>
      <c r="I123" s="3">
        <v>1</v>
      </c>
      <c r="J123" s="3"/>
      <c r="K123" s="3"/>
      <c r="L123" s="3">
        <v>1</v>
      </c>
      <c r="M123" s="3">
        <v>1</v>
      </c>
      <c r="N123" s="3">
        <v>1</v>
      </c>
      <c r="O123" s="3"/>
      <c r="P123" s="3">
        <v>1</v>
      </c>
      <c r="Q123" s="3">
        <v>1</v>
      </c>
      <c r="R123" s="3">
        <v>1</v>
      </c>
      <c r="S123" s="3">
        <v>1</v>
      </c>
      <c r="T123" s="3">
        <v>1</v>
      </c>
      <c r="U123" s="3">
        <v>1</v>
      </c>
      <c r="V123" s="3">
        <v>1</v>
      </c>
      <c r="W123" s="3">
        <v>1</v>
      </c>
      <c r="X123" s="3">
        <v>1</v>
      </c>
      <c r="Y123" s="3">
        <v>1</v>
      </c>
      <c r="Z123" s="3">
        <v>1</v>
      </c>
      <c r="AA123" s="3">
        <v>1</v>
      </c>
      <c r="AB123" s="3">
        <v>1</v>
      </c>
      <c r="AC123" s="3">
        <v>1</v>
      </c>
      <c r="AD123" s="3">
        <v>1</v>
      </c>
      <c r="AE123" s="3">
        <v>1</v>
      </c>
      <c r="AF123" s="3">
        <v>1</v>
      </c>
      <c r="AG123" s="3">
        <v>1</v>
      </c>
      <c r="AH123" s="3">
        <v>1</v>
      </c>
      <c r="AI123" s="3">
        <v>1</v>
      </c>
      <c r="AJ123" s="3">
        <v>1</v>
      </c>
      <c r="AK123" s="3">
        <v>1</v>
      </c>
      <c r="AL123" s="3"/>
      <c r="AM123" s="3">
        <v>1</v>
      </c>
      <c r="AN123" s="3">
        <v>1</v>
      </c>
      <c r="AO123" s="3">
        <v>1</v>
      </c>
      <c r="AP123" s="3">
        <v>1</v>
      </c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 x14ac:dyDescent="0.3">
      <c r="A124" s="3" t="s">
        <v>337</v>
      </c>
      <c r="B124" s="62">
        <v>22</v>
      </c>
      <c r="C124" s="64"/>
      <c r="D124" s="3" t="s">
        <v>94</v>
      </c>
      <c r="E124" s="3">
        <v>1</v>
      </c>
      <c r="F124" s="3">
        <v>1</v>
      </c>
      <c r="G124" s="3"/>
      <c r="H124" s="3"/>
      <c r="I124" s="3">
        <v>1</v>
      </c>
      <c r="J124" s="3"/>
      <c r="K124" s="3">
        <v>1</v>
      </c>
      <c r="L124" s="3">
        <v>1</v>
      </c>
      <c r="M124" s="3">
        <v>1</v>
      </c>
      <c r="N124" s="3">
        <v>1</v>
      </c>
      <c r="O124" s="3"/>
      <c r="P124" s="3">
        <v>1</v>
      </c>
      <c r="Q124" s="3">
        <v>1</v>
      </c>
      <c r="R124" s="3">
        <v>1</v>
      </c>
      <c r="S124" s="3">
        <v>1</v>
      </c>
      <c r="T124" s="3">
        <v>1</v>
      </c>
      <c r="U124" s="3">
        <v>1</v>
      </c>
      <c r="V124" s="3">
        <v>1</v>
      </c>
      <c r="W124" s="3">
        <v>1</v>
      </c>
      <c r="X124" s="3">
        <v>1</v>
      </c>
      <c r="Y124" s="3">
        <v>1</v>
      </c>
      <c r="Z124" s="3">
        <v>1</v>
      </c>
      <c r="AA124" s="3">
        <v>1</v>
      </c>
      <c r="AB124" s="3">
        <v>1</v>
      </c>
      <c r="AC124" s="3">
        <v>1</v>
      </c>
      <c r="AD124" s="3">
        <v>1</v>
      </c>
      <c r="AE124" s="3">
        <v>1</v>
      </c>
      <c r="AF124" s="3">
        <v>1</v>
      </c>
      <c r="AG124" s="3">
        <v>1</v>
      </c>
      <c r="AH124" s="3">
        <v>1</v>
      </c>
      <c r="AI124" s="3">
        <v>1</v>
      </c>
      <c r="AJ124" s="3">
        <v>1</v>
      </c>
      <c r="AK124" s="3">
        <v>1</v>
      </c>
      <c r="AL124" s="3"/>
      <c r="AM124" s="3">
        <v>1</v>
      </c>
      <c r="AN124" s="3">
        <v>1</v>
      </c>
      <c r="AO124" s="3">
        <v>1</v>
      </c>
      <c r="AP124" s="3">
        <v>1</v>
      </c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 x14ac:dyDescent="0.3">
      <c r="A125" s="3" t="s">
        <v>337</v>
      </c>
      <c r="B125" s="62">
        <v>22</v>
      </c>
      <c r="C125" s="64"/>
      <c r="D125" s="3" t="s">
        <v>118</v>
      </c>
      <c r="E125" s="3">
        <v>1</v>
      </c>
      <c r="F125" s="3">
        <v>1</v>
      </c>
      <c r="G125" s="3"/>
      <c r="H125" s="3"/>
      <c r="I125" s="3">
        <v>1</v>
      </c>
      <c r="J125" s="3">
        <v>1</v>
      </c>
      <c r="K125" s="3">
        <v>1</v>
      </c>
      <c r="L125" s="3">
        <v>1</v>
      </c>
      <c r="M125" s="3">
        <v>1</v>
      </c>
      <c r="N125" s="3">
        <v>1</v>
      </c>
      <c r="O125" s="3"/>
      <c r="P125" s="3">
        <v>1</v>
      </c>
      <c r="Q125" s="3">
        <v>1</v>
      </c>
      <c r="R125" s="3">
        <v>1</v>
      </c>
      <c r="S125" s="3">
        <v>1</v>
      </c>
      <c r="T125" s="3">
        <v>1</v>
      </c>
      <c r="U125" s="3">
        <v>1</v>
      </c>
      <c r="V125" s="3">
        <v>1</v>
      </c>
      <c r="W125" s="3">
        <v>1</v>
      </c>
      <c r="X125" s="3">
        <v>1</v>
      </c>
      <c r="Y125" s="3">
        <v>1</v>
      </c>
      <c r="Z125" s="3">
        <v>1</v>
      </c>
      <c r="AA125" s="3">
        <v>1</v>
      </c>
      <c r="AB125" s="3">
        <v>1</v>
      </c>
      <c r="AC125" s="3">
        <v>1</v>
      </c>
      <c r="AD125" s="3">
        <v>1</v>
      </c>
      <c r="AE125" s="3">
        <v>1</v>
      </c>
      <c r="AF125" s="3">
        <v>1</v>
      </c>
      <c r="AG125" s="3">
        <v>1</v>
      </c>
      <c r="AH125" s="3">
        <v>1</v>
      </c>
      <c r="AI125" s="3">
        <v>1</v>
      </c>
      <c r="AJ125" s="3">
        <v>1</v>
      </c>
      <c r="AK125" s="3">
        <v>1</v>
      </c>
      <c r="AL125" s="3"/>
      <c r="AM125" s="3">
        <v>1</v>
      </c>
      <c r="AN125" s="3">
        <v>1</v>
      </c>
      <c r="AO125" s="3">
        <v>1</v>
      </c>
      <c r="AP125" s="3">
        <v>1</v>
      </c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 x14ac:dyDescent="0.3">
      <c r="A126" s="3" t="s">
        <v>337</v>
      </c>
      <c r="B126" s="62">
        <v>22</v>
      </c>
      <c r="C126" s="64"/>
      <c r="D126" s="3" t="s">
        <v>187</v>
      </c>
      <c r="E126" s="3">
        <v>1</v>
      </c>
      <c r="F126" s="3">
        <v>1</v>
      </c>
      <c r="G126" s="3"/>
      <c r="H126" s="3"/>
      <c r="I126" s="3">
        <v>1</v>
      </c>
      <c r="J126" s="3">
        <v>1</v>
      </c>
      <c r="K126" s="3">
        <v>1</v>
      </c>
      <c r="L126" s="3">
        <v>1</v>
      </c>
      <c r="M126" s="3">
        <v>1</v>
      </c>
      <c r="N126" s="3">
        <v>1</v>
      </c>
      <c r="O126" s="3"/>
      <c r="P126" s="3">
        <v>1</v>
      </c>
      <c r="Q126" s="3">
        <v>1</v>
      </c>
      <c r="R126" s="3">
        <v>1</v>
      </c>
      <c r="S126" s="3">
        <v>1</v>
      </c>
      <c r="T126" s="3">
        <v>1</v>
      </c>
      <c r="U126" s="3">
        <v>1</v>
      </c>
      <c r="V126" s="3">
        <v>1</v>
      </c>
      <c r="W126" s="3">
        <v>1</v>
      </c>
      <c r="X126" s="3">
        <v>1</v>
      </c>
      <c r="Y126" s="3">
        <v>1</v>
      </c>
      <c r="Z126" s="3">
        <v>1</v>
      </c>
      <c r="AA126" s="3">
        <v>1</v>
      </c>
      <c r="AB126" s="3">
        <v>1</v>
      </c>
      <c r="AC126" s="3">
        <v>1</v>
      </c>
      <c r="AD126" s="3">
        <v>1</v>
      </c>
      <c r="AE126" s="3">
        <v>1</v>
      </c>
      <c r="AF126" s="3">
        <v>1</v>
      </c>
      <c r="AG126" s="3">
        <v>1</v>
      </c>
      <c r="AH126" s="3">
        <v>1</v>
      </c>
      <c r="AI126" s="3">
        <v>1</v>
      </c>
      <c r="AJ126" s="3">
        <v>1</v>
      </c>
      <c r="AK126" s="3">
        <v>1</v>
      </c>
      <c r="AL126" s="3"/>
      <c r="AM126" s="3">
        <v>1</v>
      </c>
      <c r="AN126" s="3">
        <v>1</v>
      </c>
      <c r="AO126" s="3">
        <v>1</v>
      </c>
      <c r="AP126" s="3">
        <v>1</v>
      </c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 x14ac:dyDescent="0.3">
      <c r="A127" s="3" t="s">
        <v>337</v>
      </c>
      <c r="B127" s="62">
        <v>22</v>
      </c>
      <c r="C127" s="64"/>
      <c r="D127" s="3" t="s">
        <v>86</v>
      </c>
      <c r="E127" s="3">
        <v>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>
        <v>1</v>
      </c>
      <c r="R127" s="3">
        <v>1</v>
      </c>
      <c r="S127" s="3"/>
      <c r="T127" s="3">
        <v>1</v>
      </c>
      <c r="U127" s="3">
        <v>1</v>
      </c>
      <c r="V127" s="3">
        <v>1</v>
      </c>
      <c r="W127" s="3">
        <v>1</v>
      </c>
      <c r="X127" s="3">
        <v>1</v>
      </c>
      <c r="Y127" s="3"/>
      <c r="Z127" s="3">
        <v>1</v>
      </c>
      <c r="AA127" s="3"/>
      <c r="AB127" s="3"/>
      <c r="AC127" s="3"/>
      <c r="AD127" s="3">
        <v>1</v>
      </c>
      <c r="AE127" s="3">
        <v>1</v>
      </c>
      <c r="AF127" s="3">
        <v>1</v>
      </c>
      <c r="AG127" s="3">
        <v>1</v>
      </c>
      <c r="AH127" s="3">
        <v>1</v>
      </c>
      <c r="AI127" s="3">
        <v>1</v>
      </c>
      <c r="AJ127" s="3">
        <v>1</v>
      </c>
      <c r="AK127" s="3">
        <v>1</v>
      </c>
      <c r="AL127" s="3"/>
      <c r="AM127" s="3"/>
      <c r="AN127" s="3">
        <v>1</v>
      </c>
      <c r="AO127" s="3">
        <v>1</v>
      </c>
      <c r="AP127" s="3">
        <v>1</v>
      </c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 x14ac:dyDescent="0.3">
      <c r="A128" s="3" t="s">
        <v>337</v>
      </c>
      <c r="B128" s="62">
        <v>22</v>
      </c>
      <c r="C128" s="64"/>
      <c r="D128" s="3" t="s">
        <v>316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 x14ac:dyDescent="0.3">
      <c r="A129" s="3" t="s">
        <v>337</v>
      </c>
      <c r="B129" s="62">
        <v>22</v>
      </c>
      <c r="C129" s="64"/>
      <c r="D129" s="3" t="s">
        <v>239</v>
      </c>
      <c r="E129" s="3">
        <v>1</v>
      </c>
      <c r="F129" s="3">
        <v>1</v>
      </c>
      <c r="G129" s="3"/>
      <c r="H129" s="3"/>
      <c r="I129" s="3">
        <v>1</v>
      </c>
      <c r="J129" s="3">
        <v>1</v>
      </c>
      <c r="K129" s="3">
        <v>1</v>
      </c>
      <c r="L129" s="3">
        <v>1</v>
      </c>
      <c r="M129" s="3">
        <v>1</v>
      </c>
      <c r="N129" s="3">
        <v>1</v>
      </c>
      <c r="O129" s="3"/>
      <c r="P129" s="3">
        <v>1</v>
      </c>
      <c r="Q129" s="3">
        <v>1</v>
      </c>
      <c r="R129" s="3">
        <v>1</v>
      </c>
      <c r="S129" s="3">
        <v>1</v>
      </c>
      <c r="T129" s="3">
        <v>1</v>
      </c>
      <c r="U129" s="3"/>
      <c r="V129" s="3">
        <v>1</v>
      </c>
      <c r="W129" s="3">
        <v>1</v>
      </c>
      <c r="X129" s="3">
        <v>1</v>
      </c>
      <c r="Y129" s="3"/>
      <c r="Z129" s="3"/>
      <c r="AA129" s="3"/>
      <c r="AB129" s="3">
        <v>1</v>
      </c>
      <c r="AC129" s="3">
        <v>1</v>
      </c>
      <c r="AD129" s="3">
        <v>1</v>
      </c>
      <c r="AE129" s="3">
        <v>1</v>
      </c>
      <c r="AF129" s="3">
        <v>1</v>
      </c>
      <c r="AG129" s="3">
        <v>1</v>
      </c>
      <c r="AH129" s="3">
        <v>1</v>
      </c>
      <c r="AI129" s="3">
        <v>1</v>
      </c>
      <c r="AJ129" s="3">
        <v>1</v>
      </c>
      <c r="AK129" s="3">
        <v>1</v>
      </c>
      <c r="AL129" s="3"/>
      <c r="AM129" s="3">
        <v>1</v>
      </c>
      <c r="AN129" s="3">
        <v>1</v>
      </c>
      <c r="AO129" s="3">
        <v>1</v>
      </c>
      <c r="AP129" s="3">
        <v>1</v>
      </c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 x14ac:dyDescent="0.3">
      <c r="A130" s="3" t="s">
        <v>337</v>
      </c>
      <c r="B130" s="62">
        <v>22</v>
      </c>
      <c r="C130" s="64"/>
      <c r="D130" s="3" t="s">
        <v>164</v>
      </c>
      <c r="E130" s="3"/>
      <c r="F130" s="3"/>
      <c r="G130" s="3"/>
      <c r="H130" s="3"/>
      <c r="I130" s="3"/>
      <c r="J130" s="3">
        <v>1</v>
      </c>
      <c r="K130" s="3"/>
      <c r="L130" s="3"/>
      <c r="M130" s="3"/>
      <c r="N130" s="3"/>
      <c r="O130" s="3"/>
      <c r="P130" s="3"/>
      <c r="Q130" s="3">
        <v>1</v>
      </c>
      <c r="R130" s="3">
        <v>1</v>
      </c>
      <c r="S130" s="3"/>
      <c r="T130" s="3"/>
      <c r="U130" s="3"/>
      <c r="V130" s="3"/>
      <c r="W130" s="3">
        <v>1</v>
      </c>
      <c r="X130" s="3">
        <v>1</v>
      </c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>
        <v>1</v>
      </c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 x14ac:dyDescent="0.3">
      <c r="A131" s="3" t="s">
        <v>337</v>
      </c>
      <c r="B131" s="62">
        <v>22</v>
      </c>
      <c r="C131" s="64"/>
      <c r="D131" s="3" t="s">
        <v>61</v>
      </c>
      <c r="E131" s="3">
        <v>1</v>
      </c>
      <c r="F131" s="3"/>
      <c r="G131" s="3"/>
      <c r="H131" s="3"/>
      <c r="I131" s="3"/>
      <c r="J131" s="3"/>
      <c r="K131" s="3">
        <v>1</v>
      </c>
      <c r="L131" s="3">
        <v>1</v>
      </c>
      <c r="M131" s="3">
        <v>1</v>
      </c>
      <c r="N131" s="3">
        <v>1</v>
      </c>
      <c r="O131" s="3"/>
      <c r="P131" s="3"/>
      <c r="Q131" s="3">
        <v>1</v>
      </c>
      <c r="R131" s="3">
        <v>1</v>
      </c>
      <c r="S131" s="3">
        <v>1</v>
      </c>
      <c r="T131" s="3">
        <v>1</v>
      </c>
      <c r="U131" s="3">
        <v>1</v>
      </c>
      <c r="V131" s="3">
        <v>1</v>
      </c>
      <c r="W131" s="3">
        <v>1</v>
      </c>
      <c r="X131" s="3">
        <v>1</v>
      </c>
      <c r="Y131" s="3"/>
      <c r="Z131" s="3">
        <v>1</v>
      </c>
      <c r="AA131" s="3">
        <v>1</v>
      </c>
      <c r="AB131" s="3">
        <v>1</v>
      </c>
      <c r="AC131" s="3">
        <v>1</v>
      </c>
      <c r="AD131" s="3">
        <v>1</v>
      </c>
      <c r="AE131" s="3">
        <v>1</v>
      </c>
      <c r="AF131" s="3"/>
      <c r="AG131" s="3"/>
      <c r="AH131" s="3"/>
      <c r="AI131" s="3">
        <v>1</v>
      </c>
      <c r="AJ131" s="3"/>
      <c r="AK131" s="3">
        <v>1</v>
      </c>
      <c r="AL131" s="3"/>
      <c r="AM131" s="3">
        <v>1</v>
      </c>
      <c r="AN131" s="3">
        <v>1</v>
      </c>
      <c r="AO131" s="3">
        <v>1</v>
      </c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 x14ac:dyDescent="0.3">
      <c r="A132" s="3" t="s">
        <v>337</v>
      </c>
      <c r="B132" s="62">
        <v>22</v>
      </c>
      <c r="C132" s="64"/>
      <c r="D132" s="3" t="s">
        <v>79</v>
      </c>
      <c r="E132" s="3">
        <v>1</v>
      </c>
      <c r="F132" s="3"/>
      <c r="G132" s="3"/>
      <c r="H132" s="3"/>
      <c r="I132" s="3">
        <v>1</v>
      </c>
      <c r="J132" s="3">
        <v>1</v>
      </c>
      <c r="K132" s="3">
        <v>1</v>
      </c>
      <c r="L132" s="3">
        <v>1</v>
      </c>
      <c r="M132" s="3">
        <v>1</v>
      </c>
      <c r="N132" s="3">
        <v>1</v>
      </c>
      <c r="O132" s="3"/>
      <c r="P132" s="3"/>
      <c r="Q132" s="3">
        <v>1</v>
      </c>
      <c r="R132" s="3">
        <v>1</v>
      </c>
      <c r="S132" s="3">
        <v>1</v>
      </c>
      <c r="T132" s="3">
        <v>1</v>
      </c>
      <c r="U132" s="3">
        <v>1</v>
      </c>
      <c r="V132" s="3"/>
      <c r="W132" s="3"/>
      <c r="X132" s="3"/>
      <c r="Y132" s="3"/>
      <c r="Z132" s="3">
        <v>1</v>
      </c>
      <c r="AA132" s="3"/>
      <c r="AB132" s="3"/>
      <c r="AC132" s="3">
        <v>1</v>
      </c>
      <c r="AD132" s="3">
        <v>1</v>
      </c>
      <c r="AE132" s="3"/>
      <c r="AF132" s="3"/>
      <c r="AG132" s="3">
        <v>1</v>
      </c>
      <c r="AH132" s="3"/>
      <c r="AI132" s="3"/>
      <c r="AJ132" s="3"/>
      <c r="AK132" s="3">
        <v>1</v>
      </c>
      <c r="AL132" s="3"/>
      <c r="AM132" s="3"/>
      <c r="AN132" s="3"/>
      <c r="AO132" s="3">
        <v>1</v>
      </c>
      <c r="AP132" s="3">
        <v>1</v>
      </c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 x14ac:dyDescent="0.3">
      <c r="A133" s="3" t="s">
        <v>337</v>
      </c>
      <c r="B133" s="62">
        <v>22</v>
      </c>
      <c r="C133" s="64"/>
      <c r="D133" s="25" t="s">
        <v>397</v>
      </c>
      <c r="E133" s="3">
        <v>1</v>
      </c>
      <c r="F133" s="3"/>
      <c r="G133" s="3"/>
      <c r="H133" s="3"/>
      <c r="I133" s="3">
        <v>1</v>
      </c>
      <c r="J133" s="3">
        <v>1</v>
      </c>
      <c r="K133" s="3">
        <v>1</v>
      </c>
      <c r="L133" s="3">
        <v>1</v>
      </c>
      <c r="M133" s="3">
        <v>1</v>
      </c>
      <c r="N133" s="3">
        <v>1</v>
      </c>
      <c r="O133" s="3"/>
      <c r="P133" s="3">
        <v>1</v>
      </c>
      <c r="Q133" s="3">
        <v>1</v>
      </c>
      <c r="R133" s="3">
        <v>1</v>
      </c>
      <c r="S133" s="3">
        <v>1</v>
      </c>
      <c r="T133" s="3">
        <v>1</v>
      </c>
      <c r="U133" s="3">
        <v>1</v>
      </c>
      <c r="V133" s="3">
        <v>1</v>
      </c>
      <c r="W133" s="3">
        <v>1</v>
      </c>
      <c r="X133" s="3">
        <v>1</v>
      </c>
      <c r="Y133" s="3">
        <v>1</v>
      </c>
      <c r="Z133" s="3">
        <v>1</v>
      </c>
      <c r="AA133" s="3">
        <v>1</v>
      </c>
      <c r="AB133" s="3">
        <v>1</v>
      </c>
      <c r="AC133" s="3">
        <v>1</v>
      </c>
      <c r="AD133" s="3">
        <v>1</v>
      </c>
      <c r="AE133" s="3">
        <v>1</v>
      </c>
      <c r="AF133" s="3">
        <v>1</v>
      </c>
      <c r="AG133" s="3"/>
      <c r="AH133" s="3"/>
      <c r="AI133" s="3">
        <v>1</v>
      </c>
      <c r="AJ133" s="3">
        <v>1</v>
      </c>
      <c r="AK133" s="3">
        <v>1</v>
      </c>
      <c r="AL133" s="3"/>
      <c r="AM133" s="3">
        <v>1</v>
      </c>
      <c r="AN133" s="3">
        <v>1</v>
      </c>
      <c r="AO133" s="3">
        <v>1</v>
      </c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 x14ac:dyDescent="0.3">
      <c r="A134" s="3" t="s">
        <v>337</v>
      </c>
      <c r="B134" s="62">
        <v>31</v>
      </c>
      <c r="C134" s="64"/>
      <c r="D134" s="3" t="s">
        <v>138</v>
      </c>
      <c r="E134" s="3">
        <v>1</v>
      </c>
      <c r="F134" s="3"/>
      <c r="G134" s="3"/>
      <c r="H134" s="3"/>
      <c r="I134" s="3">
        <v>1</v>
      </c>
      <c r="J134" s="3">
        <v>1</v>
      </c>
      <c r="K134" s="3">
        <v>1</v>
      </c>
      <c r="L134" s="3">
        <v>1</v>
      </c>
      <c r="M134" s="3">
        <v>1</v>
      </c>
      <c r="N134" s="3">
        <v>1</v>
      </c>
      <c r="O134" s="3"/>
      <c r="P134" s="3">
        <v>1</v>
      </c>
      <c r="Q134" s="3">
        <v>1</v>
      </c>
      <c r="R134" s="3">
        <v>1</v>
      </c>
      <c r="S134" s="3">
        <v>1</v>
      </c>
      <c r="T134" s="3">
        <v>1</v>
      </c>
      <c r="U134" s="3">
        <v>1</v>
      </c>
      <c r="V134" s="3"/>
      <c r="W134" s="3">
        <v>1</v>
      </c>
      <c r="X134" s="3">
        <v>1</v>
      </c>
      <c r="Y134" s="3">
        <v>1</v>
      </c>
      <c r="Z134" s="3">
        <v>1</v>
      </c>
      <c r="AA134" s="3">
        <v>1</v>
      </c>
      <c r="AB134" s="3">
        <v>1</v>
      </c>
      <c r="AC134" s="3">
        <v>1</v>
      </c>
      <c r="AD134" s="3">
        <v>1</v>
      </c>
      <c r="AE134" s="3"/>
      <c r="AF134" s="3">
        <v>1</v>
      </c>
      <c r="AG134" s="3">
        <v>1</v>
      </c>
      <c r="AH134" s="3">
        <v>1</v>
      </c>
      <c r="AI134" s="3">
        <v>1</v>
      </c>
      <c r="AJ134" s="3">
        <v>1</v>
      </c>
      <c r="AK134" s="3">
        <v>1</v>
      </c>
      <c r="AL134" s="3"/>
      <c r="AM134" s="3">
        <v>1</v>
      </c>
      <c r="AN134" s="3">
        <v>1</v>
      </c>
      <c r="AO134" s="3">
        <v>1</v>
      </c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 x14ac:dyDescent="0.3">
      <c r="A135" s="3" t="s">
        <v>337</v>
      </c>
      <c r="B135" s="62">
        <v>31</v>
      </c>
      <c r="C135" s="64"/>
      <c r="D135" s="3" t="s">
        <v>129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 x14ac:dyDescent="0.3">
      <c r="A136" s="3" t="s">
        <v>337</v>
      </c>
      <c r="B136" s="62">
        <v>31</v>
      </c>
      <c r="C136" s="64"/>
      <c r="D136" s="3" t="s">
        <v>270</v>
      </c>
      <c r="E136" s="3">
        <v>1</v>
      </c>
      <c r="F136" s="3">
        <v>1</v>
      </c>
      <c r="G136" s="3"/>
      <c r="H136" s="3"/>
      <c r="I136" s="3">
        <v>1</v>
      </c>
      <c r="J136" s="3">
        <v>1</v>
      </c>
      <c r="K136" s="3">
        <v>1</v>
      </c>
      <c r="L136" s="3">
        <v>1</v>
      </c>
      <c r="M136" s="3">
        <v>1</v>
      </c>
      <c r="N136" s="3">
        <v>1</v>
      </c>
      <c r="O136" s="3"/>
      <c r="P136" s="3">
        <v>1</v>
      </c>
      <c r="Q136" s="3">
        <v>1</v>
      </c>
      <c r="R136" s="3">
        <v>1</v>
      </c>
      <c r="S136" s="3">
        <v>1</v>
      </c>
      <c r="T136" s="3">
        <v>1</v>
      </c>
      <c r="U136" s="3">
        <v>1</v>
      </c>
      <c r="V136" s="3">
        <v>1</v>
      </c>
      <c r="W136" s="3">
        <v>1</v>
      </c>
      <c r="X136" s="3">
        <v>1</v>
      </c>
      <c r="Y136" s="3">
        <v>1</v>
      </c>
      <c r="Z136" s="3">
        <v>1</v>
      </c>
      <c r="AA136" s="3">
        <v>1</v>
      </c>
      <c r="AB136" s="3">
        <v>1</v>
      </c>
      <c r="AC136" s="3">
        <v>1</v>
      </c>
      <c r="AD136" s="3">
        <v>1</v>
      </c>
      <c r="AE136" s="3">
        <v>1</v>
      </c>
      <c r="AF136" s="3"/>
      <c r="AG136" s="3">
        <v>1</v>
      </c>
      <c r="AH136" s="3">
        <v>1</v>
      </c>
      <c r="AI136" s="3">
        <v>1</v>
      </c>
      <c r="AJ136" s="3"/>
      <c r="AK136" s="3">
        <v>1</v>
      </c>
      <c r="AL136" s="3"/>
      <c r="AM136" s="3">
        <v>1</v>
      </c>
      <c r="AN136" s="3">
        <v>1</v>
      </c>
      <c r="AO136" s="3">
        <v>1</v>
      </c>
      <c r="AP136" s="3">
        <v>1</v>
      </c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 x14ac:dyDescent="0.3">
      <c r="A137" s="3" t="s">
        <v>337</v>
      </c>
      <c r="B137" s="62">
        <v>31</v>
      </c>
      <c r="C137" s="64"/>
      <c r="D137" s="3" t="s">
        <v>87</v>
      </c>
      <c r="E137" s="3"/>
      <c r="F137" s="3"/>
      <c r="G137" s="3"/>
      <c r="H137" s="3"/>
      <c r="I137" s="3">
        <v>1</v>
      </c>
      <c r="J137" s="3"/>
      <c r="K137" s="3">
        <v>1</v>
      </c>
      <c r="L137" s="3">
        <v>1</v>
      </c>
      <c r="M137" s="3"/>
      <c r="N137" s="3">
        <v>1</v>
      </c>
      <c r="O137" s="3"/>
      <c r="P137" s="3">
        <v>1</v>
      </c>
      <c r="Q137" s="3">
        <v>1</v>
      </c>
      <c r="R137" s="3"/>
      <c r="S137" s="3"/>
      <c r="T137" s="3">
        <v>1</v>
      </c>
      <c r="U137" s="3">
        <v>1</v>
      </c>
      <c r="V137" s="3">
        <v>1</v>
      </c>
      <c r="W137" s="3">
        <v>1</v>
      </c>
      <c r="X137" s="3">
        <v>1</v>
      </c>
      <c r="Y137" s="3">
        <v>1</v>
      </c>
      <c r="Z137" s="3"/>
      <c r="AA137" s="3">
        <v>1</v>
      </c>
      <c r="AB137" s="3">
        <v>1</v>
      </c>
      <c r="AC137" s="3"/>
      <c r="AD137" s="3">
        <v>1</v>
      </c>
      <c r="AE137" s="3">
        <v>1</v>
      </c>
      <c r="AF137" s="3">
        <v>1</v>
      </c>
      <c r="AG137" s="3"/>
      <c r="AH137" s="3"/>
      <c r="AI137" s="3"/>
      <c r="AJ137" s="3">
        <v>1</v>
      </c>
      <c r="AK137" s="3">
        <v>1</v>
      </c>
      <c r="AL137" s="3"/>
      <c r="AM137" s="3">
        <v>1</v>
      </c>
      <c r="AN137" s="3">
        <v>1</v>
      </c>
      <c r="AO137" s="3">
        <v>1</v>
      </c>
      <c r="AP137" s="3">
        <v>1</v>
      </c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 x14ac:dyDescent="0.3">
      <c r="A138" s="3" t="s">
        <v>337</v>
      </c>
      <c r="B138" s="62">
        <v>31</v>
      </c>
      <c r="C138" s="64"/>
      <c r="D138" s="3" t="s">
        <v>27</v>
      </c>
      <c r="E138" s="3"/>
      <c r="F138" s="3">
        <v>1</v>
      </c>
      <c r="G138" s="3"/>
      <c r="H138" s="3"/>
      <c r="I138" s="3">
        <v>1</v>
      </c>
      <c r="J138" s="3">
        <v>1</v>
      </c>
      <c r="K138" s="3">
        <v>1</v>
      </c>
      <c r="L138" s="3">
        <v>1</v>
      </c>
      <c r="M138" s="3"/>
      <c r="N138" s="3">
        <v>1</v>
      </c>
      <c r="O138" s="3"/>
      <c r="P138" s="3"/>
      <c r="Q138" s="3">
        <v>1</v>
      </c>
      <c r="R138" s="3"/>
      <c r="S138" s="3"/>
      <c r="T138" s="3"/>
      <c r="U138" s="3">
        <v>1</v>
      </c>
      <c r="V138" s="3">
        <v>1</v>
      </c>
      <c r="W138" s="3">
        <v>1</v>
      </c>
      <c r="X138" s="3"/>
      <c r="Y138" s="3"/>
      <c r="Z138" s="3">
        <v>1</v>
      </c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>
        <v>1</v>
      </c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 x14ac:dyDescent="0.3">
      <c r="A139" s="3" t="s">
        <v>337</v>
      </c>
      <c r="B139" s="62">
        <v>31</v>
      </c>
      <c r="C139" s="64"/>
      <c r="D139" s="3" t="s">
        <v>113</v>
      </c>
      <c r="E139" s="3">
        <v>1</v>
      </c>
      <c r="F139" s="3">
        <v>1</v>
      </c>
      <c r="G139" s="3"/>
      <c r="H139" s="3"/>
      <c r="I139" s="3">
        <v>1</v>
      </c>
      <c r="J139" s="3">
        <v>1</v>
      </c>
      <c r="K139" s="3">
        <v>1</v>
      </c>
      <c r="L139" s="3">
        <v>1</v>
      </c>
      <c r="M139" s="3">
        <v>1</v>
      </c>
      <c r="N139" s="3">
        <v>1</v>
      </c>
      <c r="O139" s="3"/>
      <c r="P139" s="3">
        <v>1</v>
      </c>
      <c r="Q139" s="3">
        <v>1</v>
      </c>
      <c r="R139" s="3">
        <v>1</v>
      </c>
      <c r="S139" s="3">
        <v>1</v>
      </c>
      <c r="T139" s="3">
        <v>1</v>
      </c>
      <c r="U139" s="3">
        <v>1</v>
      </c>
      <c r="V139" s="3">
        <v>1</v>
      </c>
      <c r="W139" s="3">
        <v>1</v>
      </c>
      <c r="X139" s="3">
        <v>1</v>
      </c>
      <c r="Y139" s="3">
        <v>1</v>
      </c>
      <c r="Z139" s="3">
        <v>1</v>
      </c>
      <c r="AA139" s="3">
        <v>1</v>
      </c>
      <c r="AB139" s="3">
        <v>1</v>
      </c>
      <c r="AC139" s="3">
        <v>1</v>
      </c>
      <c r="AD139" s="3">
        <v>1</v>
      </c>
      <c r="AE139" s="3">
        <v>1</v>
      </c>
      <c r="AF139" s="3">
        <v>1</v>
      </c>
      <c r="AG139" s="3">
        <v>1</v>
      </c>
      <c r="AH139" s="3">
        <v>1</v>
      </c>
      <c r="AI139" s="3">
        <v>1</v>
      </c>
      <c r="AJ139" s="3">
        <v>1</v>
      </c>
      <c r="AK139" s="3">
        <v>1</v>
      </c>
      <c r="AL139" s="3"/>
      <c r="AM139" s="3">
        <v>1</v>
      </c>
      <c r="AN139" s="3">
        <v>1</v>
      </c>
      <c r="AO139" s="3">
        <v>1</v>
      </c>
      <c r="AP139" s="3">
        <v>1</v>
      </c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 x14ac:dyDescent="0.3">
      <c r="A140" s="3" t="s">
        <v>337</v>
      </c>
      <c r="B140" s="62">
        <v>31</v>
      </c>
      <c r="C140" s="64"/>
      <c r="D140" s="3" t="s">
        <v>160</v>
      </c>
      <c r="E140" s="3">
        <v>1</v>
      </c>
      <c r="F140" s="3">
        <v>1</v>
      </c>
      <c r="G140" s="3"/>
      <c r="H140" s="3"/>
      <c r="I140" s="3">
        <v>1</v>
      </c>
      <c r="J140" s="3">
        <v>1</v>
      </c>
      <c r="K140" s="3">
        <v>1</v>
      </c>
      <c r="L140" s="3">
        <v>1</v>
      </c>
      <c r="M140" s="3">
        <v>1</v>
      </c>
      <c r="N140" s="3">
        <v>1</v>
      </c>
      <c r="O140" s="3"/>
      <c r="P140" s="3">
        <v>1</v>
      </c>
      <c r="Q140" s="3">
        <v>1</v>
      </c>
      <c r="R140" s="3"/>
      <c r="S140" s="3">
        <v>1</v>
      </c>
      <c r="T140" s="3">
        <v>1</v>
      </c>
      <c r="U140" s="3">
        <v>1</v>
      </c>
      <c r="V140" s="3"/>
      <c r="W140" s="3">
        <v>1</v>
      </c>
      <c r="X140" s="3">
        <v>1</v>
      </c>
      <c r="Y140" s="3">
        <v>1</v>
      </c>
      <c r="Z140" s="3">
        <v>1</v>
      </c>
      <c r="AA140" s="3">
        <v>1</v>
      </c>
      <c r="AB140" s="3">
        <v>1</v>
      </c>
      <c r="AC140" s="3"/>
      <c r="AD140" s="3">
        <v>1</v>
      </c>
      <c r="AE140" s="3">
        <v>1</v>
      </c>
      <c r="AF140" s="3">
        <v>1</v>
      </c>
      <c r="AG140" s="3">
        <v>1</v>
      </c>
      <c r="AH140" s="3">
        <v>1</v>
      </c>
      <c r="AI140" s="3">
        <v>1</v>
      </c>
      <c r="AJ140" s="3">
        <v>1</v>
      </c>
      <c r="AK140" s="3">
        <v>1</v>
      </c>
      <c r="AL140" s="3"/>
      <c r="AM140" s="3">
        <v>1</v>
      </c>
      <c r="AN140" s="3">
        <v>1</v>
      </c>
      <c r="AO140" s="3">
        <v>1</v>
      </c>
      <c r="AP140" s="3">
        <v>1</v>
      </c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 x14ac:dyDescent="0.3">
      <c r="A141" s="3" t="s">
        <v>337</v>
      </c>
      <c r="B141" s="62">
        <v>31</v>
      </c>
      <c r="C141" s="64"/>
      <c r="D141" s="3" t="s">
        <v>281</v>
      </c>
      <c r="E141" s="3">
        <v>1</v>
      </c>
      <c r="F141" s="3">
        <v>1</v>
      </c>
      <c r="G141" s="3"/>
      <c r="H141" s="3"/>
      <c r="I141" s="3">
        <v>1</v>
      </c>
      <c r="J141" s="3">
        <v>1</v>
      </c>
      <c r="K141" s="3">
        <v>1</v>
      </c>
      <c r="L141" s="3">
        <v>1</v>
      </c>
      <c r="M141" s="3">
        <v>1</v>
      </c>
      <c r="N141" s="3">
        <v>1</v>
      </c>
      <c r="O141" s="3"/>
      <c r="P141" s="3">
        <v>1</v>
      </c>
      <c r="Q141" s="3">
        <v>1</v>
      </c>
      <c r="R141" s="3">
        <v>1</v>
      </c>
      <c r="S141" s="3">
        <v>1</v>
      </c>
      <c r="T141" s="3">
        <v>1</v>
      </c>
      <c r="U141" s="3">
        <v>1</v>
      </c>
      <c r="V141" s="3"/>
      <c r="W141" s="3">
        <v>1</v>
      </c>
      <c r="X141" s="3">
        <v>1</v>
      </c>
      <c r="Y141" s="3">
        <v>1</v>
      </c>
      <c r="Z141" s="3">
        <v>1</v>
      </c>
      <c r="AA141" s="3">
        <v>1</v>
      </c>
      <c r="AB141" s="3">
        <v>1</v>
      </c>
      <c r="AC141" s="3">
        <v>1</v>
      </c>
      <c r="AD141" s="3">
        <v>1</v>
      </c>
      <c r="AE141" s="3">
        <v>1</v>
      </c>
      <c r="AF141" s="3">
        <v>1</v>
      </c>
      <c r="AG141" s="3">
        <v>1</v>
      </c>
      <c r="AH141" s="3">
        <v>1</v>
      </c>
      <c r="AI141" s="3">
        <v>1</v>
      </c>
      <c r="AJ141" s="3">
        <v>1</v>
      </c>
      <c r="AK141" s="3">
        <v>1</v>
      </c>
      <c r="AL141" s="3"/>
      <c r="AM141" s="3">
        <v>1</v>
      </c>
      <c r="AN141" s="3">
        <v>1</v>
      </c>
      <c r="AO141" s="3">
        <v>1</v>
      </c>
      <c r="AP141" s="3">
        <v>1</v>
      </c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 x14ac:dyDescent="0.3">
      <c r="A142" s="3" t="s">
        <v>337</v>
      </c>
      <c r="B142" s="62">
        <v>31</v>
      </c>
      <c r="C142" s="64"/>
      <c r="D142" s="3" t="s">
        <v>117</v>
      </c>
      <c r="E142" s="3">
        <v>1</v>
      </c>
      <c r="F142" s="3">
        <v>1</v>
      </c>
      <c r="G142" s="3"/>
      <c r="H142" s="3"/>
      <c r="I142" s="3">
        <v>1</v>
      </c>
      <c r="J142" s="3"/>
      <c r="K142" s="3">
        <v>1</v>
      </c>
      <c r="L142" s="3">
        <v>1</v>
      </c>
      <c r="M142" s="3"/>
      <c r="N142" s="3">
        <v>1</v>
      </c>
      <c r="O142" s="3"/>
      <c r="P142" s="3">
        <v>1</v>
      </c>
      <c r="Q142" s="3">
        <v>1</v>
      </c>
      <c r="R142" s="3">
        <v>1</v>
      </c>
      <c r="S142" s="3">
        <v>1</v>
      </c>
      <c r="T142" s="3">
        <v>1</v>
      </c>
      <c r="U142" s="3">
        <v>1</v>
      </c>
      <c r="V142" s="3">
        <v>1</v>
      </c>
      <c r="W142" s="3">
        <v>1</v>
      </c>
      <c r="X142" s="3"/>
      <c r="Y142" s="3">
        <v>1</v>
      </c>
      <c r="Z142" s="3">
        <v>1</v>
      </c>
      <c r="AA142" s="3"/>
      <c r="AB142" s="3">
        <v>1</v>
      </c>
      <c r="AC142" s="3">
        <v>1</v>
      </c>
      <c r="AD142" s="3">
        <v>1</v>
      </c>
      <c r="AE142" s="3">
        <v>1</v>
      </c>
      <c r="AF142" s="3">
        <v>1</v>
      </c>
      <c r="AG142" s="3">
        <v>1</v>
      </c>
      <c r="AH142" s="3">
        <v>1</v>
      </c>
      <c r="AI142" s="3">
        <v>1</v>
      </c>
      <c r="AJ142" s="3">
        <v>1</v>
      </c>
      <c r="AK142" s="3">
        <v>1</v>
      </c>
      <c r="AL142" s="3"/>
      <c r="AM142" s="3"/>
      <c r="AN142" s="3">
        <v>1</v>
      </c>
      <c r="AO142" s="3">
        <v>1</v>
      </c>
      <c r="AP142" s="3">
        <v>1</v>
      </c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 x14ac:dyDescent="0.3">
      <c r="A143" s="3" t="s">
        <v>337</v>
      </c>
      <c r="B143" s="62">
        <v>31</v>
      </c>
      <c r="C143" s="64"/>
      <c r="D143" s="3" t="s">
        <v>12</v>
      </c>
      <c r="E143" s="3"/>
      <c r="F143" s="3"/>
      <c r="G143" s="3"/>
      <c r="H143" s="3"/>
      <c r="I143" s="3">
        <v>1</v>
      </c>
      <c r="J143" s="3">
        <v>1</v>
      </c>
      <c r="K143" s="3"/>
      <c r="L143" s="3">
        <v>1</v>
      </c>
      <c r="M143" s="3">
        <v>1</v>
      </c>
      <c r="N143" s="3">
        <v>1</v>
      </c>
      <c r="O143" s="3"/>
      <c r="P143" s="3">
        <v>1</v>
      </c>
      <c r="Q143" s="3">
        <v>1</v>
      </c>
      <c r="R143" s="3"/>
      <c r="S143" s="3"/>
      <c r="T143" s="3">
        <v>1</v>
      </c>
      <c r="U143" s="3"/>
      <c r="V143" s="3"/>
      <c r="W143" s="3">
        <v>1</v>
      </c>
      <c r="X143" s="3">
        <v>1</v>
      </c>
      <c r="Y143" s="3">
        <v>1</v>
      </c>
      <c r="Z143" s="3"/>
      <c r="AA143" s="3"/>
      <c r="AB143" s="3">
        <v>1</v>
      </c>
      <c r="AC143" s="3"/>
      <c r="AD143" s="3"/>
      <c r="AE143" s="3"/>
      <c r="AF143" s="3">
        <v>1</v>
      </c>
      <c r="AG143" s="3">
        <v>1</v>
      </c>
      <c r="AH143" s="3">
        <v>1</v>
      </c>
      <c r="AI143" s="3">
        <v>1</v>
      </c>
      <c r="AJ143" s="3">
        <v>1</v>
      </c>
      <c r="AK143" s="3">
        <v>1</v>
      </c>
      <c r="AL143" s="3"/>
      <c r="AM143" s="3">
        <v>1</v>
      </c>
      <c r="AN143" s="3">
        <v>1</v>
      </c>
      <c r="AO143" s="3">
        <v>1</v>
      </c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 x14ac:dyDescent="0.3">
      <c r="A144" s="3" t="s">
        <v>337</v>
      </c>
      <c r="B144" s="62">
        <v>31</v>
      </c>
      <c r="C144" s="64"/>
      <c r="D144" s="3" t="s">
        <v>95</v>
      </c>
      <c r="E144" s="3">
        <v>1</v>
      </c>
      <c r="F144" s="3">
        <v>1</v>
      </c>
      <c r="G144" s="3"/>
      <c r="H144" s="3"/>
      <c r="I144" s="3">
        <v>1</v>
      </c>
      <c r="J144" s="3">
        <v>1</v>
      </c>
      <c r="K144" s="3">
        <v>1</v>
      </c>
      <c r="L144" s="3">
        <v>1</v>
      </c>
      <c r="M144" s="3">
        <v>1</v>
      </c>
      <c r="N144" s="3">
        <v>1</v>
      </c>
      <c r="O144" s="3"/>
      <c r="P144" s="3">
        <v>1</v>
      </c>
      <c r="Q144" s="3">
        <v>1</v>
      </c>
      <c r="R144" s="3">
        <v>1</v>
      </c>
      <c r="S144" s="3">
        <v>1</v>
      </c>
      <c r="T144" s="3">
        <v>1</v>
      </c>
      <c r="U144" s="3">
        <v>1</v>
      </c>
      <c r="V144" s="3">
        <v>1</v>
      </c>
      <c r="W144" s="3">
        <v>1</v>
      </c>
      <c r="X144" s="3">
        <v>1</v>
      </c>
      <c r="Y144" s="3">
        <v>1</v>
      </c>
      <c r="Z144" s="3">
        <v>1</v>
      </c>
      <c r="AA144" s="3">
        <v>1</v>
      </c>
      <c r="AB144" s="3">
        <v>1</v>
      </c>
      <c r="AC144" s="3">
        <v>1</v>
      </c>
      <c r="AD144" s="3">
        <v>1</v>
      </c>
      <c r="AE144" s="3">
        <v>1</v>
      </c>
      <c r="AF144" s="3">
        <v>1</v>
      </c>
      <c r="AG144" s="3">
        <v>1</v>
      </c>
      <c r="AH144" s="3">
        <v>1</v>
      </c>
      <c r="AI144" s="3">
        <v>1</v>
      </c>
      <c r="AJ144" s="3">
        <v>1</v>
      </c>
      <c r="AK144" s="3">
        <v>1</v>
      </c>
      <c r="AL144" s="3"/>
      <c r="AM144" s="3">
        <v>1</v>
      </c>
      <c r="AN144" s="3">
        <v>1</v>
      </c>
      <c r="AO144" s="3">
        <v>1</v>
      </c>
      <c r="AP144" s="3">
        <v>1</v>
      </c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 x14ac:dyDescent="0.3">
      <c r="A145" s="3" t="s">
        <v>337</v>
      </c>
      <c r="B145" s="62">
        <v>31</v>
      </c>
      <c r="C145" s="64"/>
      <c r="D145" s="3" t="s">
        <v>209</v>
      </c>
      <c r="E145" s="3">
        <v>1</v>
      </c>
      <c r="F145" s="3">
        <v>1</v>
      </c>
      <c r="G145" s="3"/>
      <c r="H145" s="3"/>
      <c r="I145" s="3">
        <v>1</v>
      </c>
      <c r="J145" s="3">
        <v>1</v>
      </c>
      <c r="K145" s="3">
        <v>1</v>
      </c>
      <c r="L145" s="3">
        <v>1</v>
      </c>
      <c r="M145" s="3">
        <v>1</v>
      </c>
      <c r="N145" s="3">
        <v>1</v>
      </c>
      <c r="O145" s="3"/>
      <c r="P145" s="3">
        <v>1</v>
      </c>
      <c r="Q145" s="3">
        <v>1</v>
      </c>
      <c r="R145" s="3"/>
      <c r="S145" s="3">
        <v>1</v>
      </c>
      <c r="T145" s="3">
        <v>1</v>
      </c>
      <c r="U145" s="3">
        <v>1</v>
      </c>
      <c r="V145" s="3">
        <v>1</v>
      </c>
      <c r="W145" s="3">
        <v>1</v>
      </c>
      <c r="X145" s="3">
        <v>1</v>
      </c>
      <c r="Y145" s="3">
        <v>1</v>
      </c>
      <c r="Z145" s="3">
        <v>1</v>
      </c>
      <c r="AA145" s="3">
        <v>1</v>
      </c>
      <c r="AB145" s="3">
        <v>1</v>
      </c>
      <c r="AC145" s="3"/>
      <c r="AD145" s="3">
        <v>1</v>
      </c>
      <c r="AE145" s="3">
        <v>1</v>
      </c>
      <c r="AF145" s="3">
        <v>1</v>
      </c>
      <c r="AG145" s="3">
        <v>1</v>
      </c>
      <c r="AH145" s="3">
        <v>1</v>
      </c>
      <c r="AI145" s="3">
        <v>1</v>
      </c>
      <c r="AJ145" s="3">
        <v>1</v>
      </c>
      <c r="AK145" s="3">
        <v>1</v>
      </c>
      <c r="AL145" s="3"/>
      <c r="AM145" s="3">
        <v>1</v>
      </c>
      <c r="AN145" s="3">
        <v>1</v>
      </c>
      <c r="AO145" s="3">
        <v>1</v>
      </c>
      <c r="AP145" s="3">
        <v>1</v>
      </c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 x14ac:dyDescent="0.3">
      <c r="A146" s="3" t="s">
        <v>337</v>
      </c>
      <c r="B146" s="62">
        <v>31</v>
      </c>
      <c r="C146" s="64"/>
      <c r="D146" s="3" t="s">
        <v>149</v>
      </c>
      <c r="E146" s="3"/>
      <c r="F146" s="3"/>
      <c r="G146" s="3"/>
      <c r="H146" s="3"/>
      <c r="I146" s="3">
        <v>1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 x14ac:dyDescent="0.3">
      <c r="A147" s="3" t="s">
        <v>337</v>
      </c>
      <c r="B147" s="62">
        <v>31</v>
      </c>
      <c r="C147" s="64"/>
      <c r="D147" s="3" t="s">
        <v>17</v>
      </c>
      <c r="E147" s="3">
        <v>1</v>
      </c>
      <c r="F147" s="3">
        <v>1</v>
      </c>
      <c r="G147" s="3"/>
      <c r="H147" s="3"/>
      <c r="I147" s="3">
        <v>1</v>
      </c>
      <c r="J147" s="3">
        <v>1</v>
      </c>
      <c r="K147" s="3">
        <v>1</v>
      </c>
      <c r="L147" s="3">
        <v>1</v>
      </c>
      <c r="M147" s="3">
        <v>1</v>
      </c>
      <c r="N147" s="3">
        <v>1</v>
      </c>
      <c r="O147" s="3"/>
      <c r="P147" s="3">
        <v>1</v>
      </c>
      <c r="Q147" s="3">
        <v>1</v>
      </c>
      <c r="R147" s="3">
        <v>1</v>
      </c>
      <c r="S147" s="3">
        <v>1</v>
      </c>
      <c r="T147" s="3">
        <v>1</v>
      </c>
      <c r="U147" s="3">
        <v>1</v>
      </c>
      <c r="V147" s="3"/>
      <c r="W147" s="3">
        <v>1</v>
      </c>
      <c r="X147" s="3">
        <v>1</v>
      </c>
      <c r="Y147" s="3">
        <v>1</v>
      </c>
      <c r="Z147" s="3"/>
      <c r="AA147" s="3"/>
      <c r="AB147" s="3">
        <v>1</v>
      </c>
      <c r="AC147" s="3">
        <v>1</v>
      </c>
      <c r="AD147" s="3">
        <v>1</v>
      </c>
      <c r="AE147" s="3">
        <v>1</v>
      </c>
      <c r="AF147" s="3">
        <v>1</v>
      </c>
      <c r="AG147" s="3">
        <v>1</v>
      </c>
      <c r="AH147" s="3">
        <v>1</v>
      </c>
      <c r="AI147" s="3">
        <v>1</v>
      </c>
      <c r="AJ147" s="3">
        <v>1</v>
      </c>
      <c r="AK147" s="3">
        <v>1</v>
      </c>
      <c r="AL147" s="3"/>
      <c r="AM147" s="3">
        <v>1</v>
      </c>
      <c r="AN147" s="3">
        <v>1</v>
      </c>
      <c r="AO147" s="3">
        <v>1</v>
      </c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 x14ac:dyDescent="0.3">
      <c r="A148" s="3" t="s">
        <v>337</v>
      </c>
      <c r="B148" s="62">
        <v>31</v>
      </c>
      <c r="C148" s="64"/>
      <c r="D148" s="3" t="s">
        <v>83</v>
      </c>
      <c r="E148" s="3">
        <v>1</v>
      </c>
      <c r="F148" s="3">
        <v>1</v>
      </c>
      <c r="G148" s="3"/>
      <c r="H148" s="3"/>
      <c r="I148" s="3">
        <v>1</v>
      </c>
      <c r="J148" s="3">
        <v>1</v>
      </c>
      <c r="K148" s="3">
        <v>1</v>
      </c>
      <c r="L148" s="3">
        <v>1</v>
      </c>
      <c r="M148" s="3">
        <v>1</v>
      </c>
      <c r="N148" s="3">
        <v>1</v>
      </c>
      <c r="O148" s="3"/>
      <c r="P148" s="3">
        <v>1</v>
      </c>
      <c r="Q148" s="3">
        <v>1</v>
      </c>
      <c r="R148" s="3">
        <v>1</v>
      </c>
      <c r="S148" s="3">
        <v>1</v>
      </c>
      <c r="T148" s="3">
        <v>1</v>
      </c>
      <c r="U148" s="3">
        <v>1</v>
      </c>
      <c r="V148" s="3">
        <v>1</v>
      </c>
      <c r="W148" s="3">
        <v>1</v>
      </c>
      <c r="X148" s="3">
        <v>1</v>
      </c>
      <c r="Y148" s="3">
        <v>1</v>
      </c>
      <c r="Z148" s="3">
        <v>1</v>
      </c>
      <c r="AA148" s="3">
        <v>1</v>
      </c>
      <c r="AB148" s="3">
        <v>1</v>
      </c>
      <c r="AC148" s="3">
        <v>1</v>
      </c>
      <c r="AD148" s="3">
        <v>1</v>
      </c>
      <c r="AE148" s="3">
        <v>1</v>
      </c>
      <c r="AF148" s="3">
        <v>1</v>
      </c>
      <c r="AG148" s="3">
        <v>1</v>
      </c>
      <c r="AH148" s="3">
        <v>1</v>
      </c>
      <c r="AI148" s="3">
        <v>1</v>
      </c>
      <c r="AJ148" s="3">
        <v>1</v>
      </c>
      <c r="AK148" s="3"/>
      <c r="AL148" s="3"/>
      <c r="AM148" s="3">
        <v>1</v>
      </c>
      <c r="AN148" s="3">
        <v>1</v>
      </c>
      <c r="AO148" s="3">
        <v>1</v>
      </c>
      <c r="AP148" s="3">
        <v>1</v>
      </c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 x14ac:dyDescent="0.3">
      <c r="A149" s="3" t="s">
        <v>337</v>
      </c>
      <c r="B149" s="62">
        <v>31</v>
      </c>
      <c r="C149" s="64"/>
      <c r="D149" s="3" t="s">
        <v>92</v>
      </c>
      <c r="E149" s="3">
        <v>1</v>
      </c>
      <c r="F149" s="3">
        <v>1</v>
      </c>
      <c r="G149" s="3"/>
      <c r="H149" s="3"/>
      <c r="I149" s="3">
        <v>1</v>
      </c>
      <c r="J149" s="3">
        <v>1</v>
      </c>
      <c r="K149" s="3">
        <v>1</v>
      </c>
      <c r="L149" s="3">
        <v>1</v>
      </c>
      <c r="M149" s="3">
        <v>1</v>
      </c>
      <c r="N149" s="3">
        <v>1</v>
      </c>
      <c r="O149" s="3"/>
      <c r="P149" s="3">
        <v>1</v>
      </c>
      <c r="Q149" s="3">
        <v>1</v>
      </c>
      <c r="R149" s="3">
        <v>1</v>
      </c>
      <c r="S149" s="3">
        <v>1</v>
      </c>
      <c r="T149" s="3">
        <v>1</v>
      </c>
      <c r="U149" s="3">
        <v>1</v>
      </c>
      <c r="V149" s="3">
        <v>1</v>
      </c>
      <c r="W149" s="3">
        <v>1</v>
      </c>
      <c r="X149" s="3">
        <v>1</v>
      </c>
      <c r="Y149" s="3">
        <v>1</v>
      </c>
      <c r="Z149" s="3"/>
      <c r="AA149" s="3">
        <v>1</v>
      </c>
      <c r="AB149" s="3">
        <v>1</v>
      </c>
      <c r="AC149" s="3">
        <v>1</v>
      </c>
      <c r="AD149" s="3">
        <v>1</v>
      </c>
      <c r="AE149" s="3">
        <v>1</v>
      </c>
      <c r="AF149" s="3">
        <v>1</v>
      </c>
      <c r="AG149" s="3">
        <v>1</v>
      </c>
      <c r="AH149" s="3">
        <v>1</v>
      </c>
      <c r="AI149" s="3">
        <v>1</v>
      </c>
      <c r="AJ149" s="3">
        <v>1</v>
      </c>
      <c r="AK149" s="3">
        <v>1</v>
      </c>
      <c r="AL149" s="3"/>
      <c r="AM149" s="3">
        <v>1</v>
      </c>
      <c r="AN149" s="3">
        <v>1</v>
      </c>
      <c r="AO149" s="3">
        <v>1</v>
      </c>
      <c r="AP149" s="3">
        <v>1</v>
      </c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 x14ac:dyDescent="0.3">
      <c r="A150" s="3" t="s">
        <v>337</v>
      </c>
      <c r="B150" s="62">
        <v>31</v>
      </c>
      <c r="C150" s="64"/>
      <c r="D150" s="3" t="s">
        <v>155</v>
      </c>
      <c r="E150" s="3">
        <v>1</v>
      </c>
      <c r="F150" s="3">
        <v>1</v>
      </c>
      <c r="G150" s="3"/>
      <c r="H150" s="3"/>
      <c r="I150" s="3">
        <v>1</v>
      </c>
      <c r="J150" s="3">
        <v>1</v>
      </c>
      <c r="K150" s="3">
        <v>1</v>
      </c>
      <c r="L150" s="3">
        <v>1</v>
      </c>
      <c r="M150" s="3">
        <v>1</v>
      </c>
      <c r="N150" s="3">
        <v>1</v>
      </c>
      <c r="O150" s="3"/>
      <c r="P150" s="3">
        <v>1</v>
      </c>
      <c r="Q150" s="3">
        <v>1</v>
      </c>
      <c r="R150" s="3">
        <v>1</v>
      </c>
      <c r="S150" s="3">
        <v>1</v>
      </c>
      <c r="T150" s="3">
        <v>1</v>
      </c>
      <c r="U150" s="3">
        <v>1</v>
      </c>
      <c r="V150" s="3">
        <v>1</v>
      </c>
      <c r="W150" s="3">
        <v>1</v>
      </c>
      <c r="X150" s="3">
        <v>1</v>
      </c>
      <c r="Y150" s="3">
        <v>1</v>
      </c>
      <c r="Z150" s="3">
        <v>1</v>
      </c>
      <c r="AA150" s="3">
        <v>1</v>
      </c>
      <c r="AB150" s="3">
        <v>1</v>
      </c>
      <c r="AC150" s="3">
        <v>1</v>
      </c>
      <c r="AD150" s="3">
        <v>1</v>
      </c>
      <c r="AE150" s="3">
        <v>1</v>
      </c>
      <c r="AF150" s="3">
        <v>1</v>
      </c>
      <c r="AG150" s="3">
        <v>1</v>
      </c>
      <c r="AH150" s="3">
        <v>1</v>
      </c>
      <c r="AI150" s="3">
        <v>1</v>
      </c>
      <c r="AJ150" s="3">
        <v>1</v>
      </c>
      <c r="AK150" s="3">
        <v>1</v>
      </c>
      <c r="AL150" s="3"/>
      <c r="AM150" s="3">
        <v>1</v>
      </c>
      <c r="AN150" s="3">
        <v>1</v>
      </c>
      <c r="AO150" s="3">
        <v>1</v>
      </c>
      <c r="AP150" s="3">
        <v>1</v>
      </c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 x14ac:dyDescent="0.3">
      <c r="A151" s="3" t="s">
        <v>337</v>
      </c>
      <c r="B151" s="62">
        <v>31</v>
      </c>
      <c r="C151" s="64"/>
      <c r="D151" s="3" t="s">
        <v>182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>
        <v>1</v>
      </c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 x14ac:dyDescent="0.3">
      <c r="A152" s="3" t="s">
        <v>337</v>
      </c>
      <c r="B152" s="62">
        <v>31</v>
      </c>
      <c r="C152" s="64"/>
      <c r="D152" s="3" t="s">
        <v>49</v>
      </c>
      <c r="E152" s="3">
        <v>1</v>
      </c>
      <c r="F152" s="3">
        <v>1</v>
      </c>
      <c r="G152" s="3"/>
      <c r="H152" s="3"/>
      <c r="I152" s="3">
        <v>1</v>
      </c>
      <c r="J152" s="3">
        <v>1</v>
      </c>
      <c r="K152" s="3">
        <v>1</v>
      </c>
      <c r="L152" s="3">
        <v>1</v>
      </c>
      <c r="M152" s="3">
        <v>1</v>
      </c>
      <c r="N152" s="3">
        <v>1</v>
      </c>
      <c r="O152" s="3"/>
      <c r="P152" s="3">
        <v>1</v>
      </c>
      <c r="Q152" s="3">
        <v>1</v>
      </c>
      <c r="R152" s="3">
        <v>1</v>
      </c>
      <c r="S152" s="3">
        <v>1</v>
      </c>
      <c r="T152" s="3">
        <v>1</v>
      </c>
      <c r="U152" s="3">
        <v>1</v>
      </c>
      <c r="V152" s="3">
        <v>1</v>
      </c>
      <c r="W152" s="3">
        <v>1</v>
      </c>
      <c r="X152" s="3">
        <v>1</v>
      </c>
      <c r="Y152" s="3">
        <v>1</v>
      </c>
      <c r="Z152" s="3"/>
      <c r="AA152" s="3"/>
      <c r="AB152" s="3"/>
      <c r="AC152" s="3">
        <v>1</v>
      </c>
      <c r="AD152" s="3">
        <v>1</v>
      </c>
      <c r="AE152" s="3">
        <v>1</v>
      </c>
      <c r="AF152" s="3">
        <v>1</v>
      </c>
      <c r="AG152" s="3">
        <v>1</v>
      </c>
      <c r="AH152" s="3">
        <v>1</v>
      </c>
      <c r="AI152" s="3">
        <v>1</v>
      </c>
      <c r="AJ152" s="3"/>
      <c r="AK152" s="3">
        <v>1</v>
      </c>
      <c r="AL152" s="3"/>
      <c r="AM152" s="3">
        <v>1</v>
      </c>
      <c r="AN152" s="3">
        <v>1</v>
      </c>
      <c r="AO152" s="3">
        <v>1</v>
      </c>
      <c r="AP152" s="3">
        <v>1</v>
      </c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 x14ac:dyDescent="0.3">
      <c r="A153" s="3" t="s">
        <v>337</v>
      </c>
      <c r="B153" s="62">
        <v>31</v>
      </c>
      <c r="C153" s="64"/>
      <c r="D153" s="3" t="s">
        <v>184</v>
      </c>
      <c r="E153" s="3">
        <v>1</v>
      </c>
      <c r="F153" s="3">
        <v>1</v>
      </c>
      <c r="G153" s="3"/>
      <c r="H153" s="3"/>
      <c r="I153" s="3">
        <v>1</v>
      </c>
      <c r="J153" s="3">
        <v>1</v>
      </c>
      <c r="K153" s="3">
        <v>1</v>
      </c>
      <c r="L153" s="3">
        <v>1</v>
      </c>
      <c r="M153" s="3">
        <v>1</v>
      </c>
      <c r="N153" s="3">
        <v>1</v>
      </c>
      <c r="O153" s="3"/>
      <c r="P153" s="3">
        <v>1</v>
      </c>
      <c r="Q153" s="3">
        <v>1</v>
      </c>
      <c r="R153" s="3">
        <v>1</v>
      </c>
      <c r="S153" s="3">
        <v>1</v>
      </c>
      <c r="T153" s="3">
        <v>1</v>
      </c>
      <c r="U153" s="3">
        <v>1</v>
      </c>
      <c r="V153" s="3">
        <v>1</v>
      </c>
      <c r="W153" s="3"/>
      <c r="X153" s="3">
        <v>1</v>
      </c>
      <c r="Y153" s="3">
        <v>1</v>
      </c>
      <c r="Z153" s="3">
        <v>1</v>
      </c>
      <c r="AA153" s="3">
        <v>1</v>
      </c>
      <c r="AB153" s="3">
        <v>1</v>
      </c>
      <c r="AC153" s="3">
        <v>1</v>
      </c>
      <c r="AD153" s="3">
        <v>1</v>
      </c>
      <c r="AE153" s="3">
        <v>1</v>
      </c>
      <c r="AF153" s="3"/>
      <c r="AG153" s="3">
        <v>1</v>
      </c>
      <c r="AH153" s="3">
        <v>1</v>
      </c>
      <c r="AI153" s="3">
        <v>1</v>
      </c>
      <c r="AJ153" s="3">
        <v>1</v>
      </c>
      <c r="AK153" s="3">
        <v>1</v>
      </c>
      <c r="AL153" s="3"/>
      <c r="AM153" s="3">
        <v>1</v>
      </c>
      <c r="AN153" s="3">
        <v>1</v>
      </c>
      <c r="AO153" s="3">
        <v>1</v>
      </c>
      <c r="AP153" s="3">
        <v>1</v>
      </c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 x14ac:dyDescent="0.3">
      <c r="A154" s="3" t="s">
        <v>337</v>
      </c>
      <c r="B154" s="62">
        <v>31</v>
      </c>
      <c r="C154" s="64"/>
      <c r="D154" s="3" t="s">
        <v>285</v>
      </c>
      <c r="E154" s="3">
        <v>1</v>
      </c>
      <c r="F154" s="3">
        <v>1</v>
      </c>
      <c r="G154" s="3"/>
      <c r="H154" s="3"/>
      <c r="I154" s="3">
        <v>1</v>
      </c>
      <c r="J154" s="3"/>
      <c r="K154" s="3">
        <v>1</v>
      </c>
      <c r="L154" s="3">
        <v>1</v>
      </c>
      <c r="M154" s="3">
        <v>1</v>
      </c>
      <c r="N154" s="3">
        <v>1</v>
      </c>
      <c r="O154" s="3"/>
      <c r="P154" s="3">
        <v>1</v>
      </c>
      <c r="Q154" s="3">
        <v>1</v>
      </c>
      <c r="R154" s="3">
        <v>1</v>
      </c>
      <c r="S154" s="3">
        <v>1</v>
      </c>
      <c r="T154" s="3">
        <v>1</v>
      </c>
      <c r="U154" s="3">
        <v>1</v>
      </c>
      <c r="V154" s="3">
        <v>1</v>
      </c>
      <c r="W154" s="3">
        <v>1</v>
      </c>
      <c r="X154" s="3">
        <v>1</v>
      </c>
      <c r="Y154" s="3">
        <v>1</v>
      </c>
      <c r="Z154" s="3">
        <v>1</v>
      </c>
      <c r="AA154" s="3"/>
      <c r="AB154" s="3">
        <v>1</v>
      </c>
      <c r="AC154" s="3">
        <v>1</v>
      </c>
      <c r="AD154" s="3"/>
      <c r="AE154" s="3">
        <v>1</v>
      </c>
      <c r="AF154" s="3">
        <v>1</v>
      </c>
      <c r="AG154" s="3">
        <v>1</v>
      </c>
      <c r="AH154" s="3">
        <v>1</v>
      </c>
      <c r="AI154" s="3">
        <v>1</v>
      </c>
      <c r="AJ154" s="3">
        <v>1</v>
      </c>
      <c r="AK154" s="3">
        <v>1</v>
      </c>
      <c r="AL154" s="3"/>
      <c r="AM154" s="3"/>
      <c r="AN154" s="3">
        <v>1</v>
      </c>
      <c r="AO154" s="3">
        <v>1</v>
      </c>
      <c r="AP154" s="3">
        <v>1</v>
      </c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 x14ac:dyDescent="0.3">
      <c r="A155" s="3" t="s">
        <v>337</v>
      </c>
      <c r="B155" s="62">
        <v>31</v>
      </c>
      <c r="C155" s="64"/>
      <c r="D155" s="3" t="s">
        <v>32</v>
      </c>
      <c r="E155" s="3"/>
      <c r="F155" s="3">
        <v>1</v>
      </c>
      <c r="G155" s="3"/>
      <c r="H155" s="3"/>
      <c r="I155" s="3">
        <v>1</v>
      </c>
      <c r="J155" s="3">
        <v>1</v>
      </c>
      <c r="K155" s="3">
        <v>1</v>
      </c>
      <c r="L155" s="3"/>
      <c r="M155" s="3">
        <v>1</v>
      </c>
      <c r="N155" s="3">
        <v>1</v>
      </c>
      <c r="O155" s="3"/>
      <c r="P155" s="3">
        <v>1</v>
      </c>
      <c r="Q155" s="3">
        <v>1</v>
      </c>
      <c r="R155" s="3">
        <v>1</v>
      </c>
      <c r="S155" s="3">
        <v>1</v>
      </c>
      <c r="T155" s="3">
        <v>1</v>
      </c>
      <c r="U155" s="3">
        <v>1</v>
      </c>
      <c r="V155" s="3">
        <v>1</v>
      </c>
      <c r="W155" s="3">
        <v>1</v>
      </c>
      <c r="X155" s="3">
        <v>1</v>
      </c>
      <c r="Y155" s="3">
        <v>1</v>
      </c>
      <c r="Z155" s="3">
        <v>1</v>
      </c>
      <c r="AA155" s="3"/>
      <c r="AB155" s="3">
        <v>1</v>
      </c>
      <c r="AC155" s="3"/>
      <c r="AD155" s="3">
        <v>1</v>
      </c>
      <c r="AE155" s="3">
        <v>1</v>
      </c>
      <c r="AF155" s="3">
        <v>1</v>
      </c>
      <c r="AG155" s="3">
        <v>1</v>
      </c>
      <c r="AH155" s="3">
        <v>1</v>
      </c>
      <c r="AI155" s="3">
        <v>1</v>
      </c>
      <c r="AJ155" s="3">
        <v>1</v>
      </c>
      <c r="AK155" s="3">
        <v>1</v>
      </c>
      <c r="AL155" s="3"/>
      <c r="AM155" s="3">
        <v>1</v>
      </c>
      <c r="AN155" s="3">
        <v>1</v>
      </c>
      <c r="AO155" s="3">
        <v>1</v>
      </c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 x14ac:dyDescent="0.3">
      <c r="A156" s="3" t="s">
        <v>337</v>
      </c>
      <c r="B156" s="62">
        <v>31</v>
      </c>
      <c r="C156" s="64"/>
      <c r="D156" s="3" t="s">
        <v>139</v>
      </c>
      <c r="E156" s="3">
        <v>1</v>
      </c>
      <c r="F156" s="3">
        <v>1</v>
      </c>
      <c r="G156" s="3"/>
      <c r="H156" s="3"/>
      <c r="I156" s="3">
        <v>1</v>
      </c>
      <c r="J156" s="3">
        <v>1</v>
      </c>
      <c r="K156" s="3">
        <v>1</v>
      </c>
      <c r="L156" s="3">
        <v>1</v>
      </c>
      <c r="M156" s="3">
        <v>1</v>
      </c>
      <c r="N156" s="3">
        <v>1</v>
      </c>
      <c r="O156" s="3"/>
      <c r="P156" s="3">
        <v>1</v>
      </c>
      <c r="Q156" s="3">
        <v>1</v>
      </c>
      <c r="R156" s="3">
        <v>1</v>
      </c>
      <c r="S156" s="3">
        <v>1</v>
      </c>
      <c r="T156" s="3">
        <v>1</v>
      </c>
      <c r="U156" s="3">
        <v>1</v>
      </c>
      <c r="V156" s="3">
        <v>1</v>
      </c>
      <c r="W156" s="3">
        <v>1</v>
      </c>
      <c r="X156" s="3">
        <v>1</v>
      </c>
      <c r="Y156" s="3">
        <v>1</v>
      </c>
      <c r="Z156" s="3">
        <v>1</v>
      </c>
      <c r="AA156" s="3">
        <v>1</v>
      </c>
      <c r="AB156" s="3">
        <v>1</v>
      </c>
      <c r="AC156" s="3">
        <v>1</v>
      </c>
      <c r="AD156" s="3">
        <v>1</v>
      </c>
      <c r="AE156" s="3">
        <v>1</v>
      </c>
      <c r="AF156" s="3">
        <v>1</v>
      </c>
      <c r="AG156" s="3">
        <v>1</v>
      </c>
      <c r="AH156" s="3">
        <v>1</v>
      </c>
      <c r="AI156" s="3">
        <v>1</v>
      </c>
      <c r="AJ156" s="3">
        <v>1</v>
      </c>
      <c r="AK156" s="3">
        <v>1</v>
      </c>
      <c r="AL156" s="3"/>
      <c r="AM156" s="3">
        <v>1</v>
      </c>
      <c r="AN156" s="3">
        <v>1</v>
      </c>
      <c r="AO156" s="3">
        <v>1</v>
      </c>
      <c r="AP156" s="3">
        <v>1</v>
      </c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 x14ac:dyDescent="0.3">
      <c r="A157" s="3" t="s">
        <v>337</v>
      </c>
      <c r="B157" s="62">
        <v>31</v>
      </c>
      <c r="C157" s="64"/>
      <c r="D157" s="3" t="s">
        <v>37</v>
      </c>
      <c r="E157" s="3">
        <v>1</v>
      </c>
      <c r="F157" s="3">
        <v>1</v>
      </c>
      <c r="G157" s="3"/>
      <c r="H157" s="3"/>
      <c r="I157" s="3">
        <v>1</v>
      </c>
      <c r="J157" s="3">
        <v>1</v>
      </c>
      <c r="K157" s="3">
        <v>1</v>
      </c>
      <c r="L157" s="3">
        <v>1</v>
      </c>
      <c r="M157" s="3">
        <v>1</v>
      </c>
      <c r="N157" s="3">
        <v>1</v>
      </c>
      <c r="O157" s="3"/>
      <c r="P157" s="3">
        <v>1</v>
      </c>
      <c r="Q157" s="3">
        <v>1</v>
      </c>
      <c r="R157" s="3">
        <v>1</v>
      </c>
      <c r="S157" s="3">
        <v>1</v>
      </c>
      <c r="T157" s="3">
        <v>1</v>
      </c>
      <c r="U157" s="3">
        <v>1</v>
      </c>
      <c r="V157" s="3">
        <v>1</v>
      </c>
      <c r="W157" s="3">
        <v>1</v>
      </c>
      <c r="X157" s="3">
        <v>1</v>
      </c>
      <c r="Y157" s="3">
        <v>1</v>
      </c>
      <c r="Z157" s="3">
        <v>1</v>
      </c>
      <c r="AA157" s="3">
        <v>1</v>
      </c>
      <c r="AB157" s="3">
        <v>1</v>
      </c>
      <c r="AC157" s="3">
        <v>1</v>
      </c>
      <c r="AD157" s="3">
        <v>1</v>
      </c>
      <c r="AE157" s="3">
        <v>1</v>
      </c>
      <c r="AF157" s="3">
        <v>1</v>
      </c>
      <c r="AG157" s="3">
        <v>1</v>
      </c>
      <c r="AH157" s="3">
        <v>1</v>
      </c>
      <c r="AI157" s="3">
        <v>1</v>
      </c>
      <c r="AJ157" s="3">
        <v>1</v>
      </c>
      <c r="AK157" s="3">
        <v>1</v>
      </c>
      <c r="AL157" s="3"/>
      <c r="AM157" s="3">
        <v>1</v>
      </c>
      <c r="AN157" s="3">
        <v>1</v>
      </c>
      <c r="AO157" s="3">
        <v>1</v>
      </c>
      <c r="AP157" s="3">
        <v>1</v>
      </c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 x14ac:dyDescent="0.3">
      <c r="A158" s="3" t="s">
        <v>337</v>
      </c>
      <c r="B158" s="62">
        <v>31</v>
      </c>
      <c r="C158" s="64"/>
      <c r="D158" s="3" t="s">
        <v>137</v>
      </c>
      <c r="E158" s="3">
        <v>1</v>
      </c>
      <c r="F158" s="3">
        <v>1</v>
      </c>
      <c r="G158" s="3"/>
      <c r="H158" s="3"/>
      <c r="I158" s="3">
        <v>1</v>
      </c>
      <c r="J158" s="3">
        <v>1</v>
      </c>
      <c r="K158" s="3">
        <v>1</v>
      </c>
      <c r="L158" s="3">
        <v>1</v>
      </c>
      <c r="M158" s="3"/>
      <c r="N158" s="3">
        <v>1</v>
      </c>
      <c r="O158" s="3"/>
      <c r="P158" s="3"/>
      <c r="Q158" s="3"/>
      <c r="R158" s="3">
        <v>1</v>
      </c>
      <c r="S158" s="3">
        <v>1</v>
      </c>
      <c r="T158" s="3">
        <v>1</v>
      </c>
      <c r="U158" s="3">
        <v>1</v>
      </c>
      <c r="V158" s="3">
        <v>1</v>
      </c>
      <c r="W158" s="3">
        <v>1</v>
      </c>
      <c r="X158" s="3">
        <v>1</v>
      </c>
      <c r="Y158" s="3">
        <v>1</v>
      </c>
      <c r="Z158" s="3"/>
      <c r="AA158" s="3"/>
      <c r="AB158" s="3"/>
      <c r="AC158" s="3">
        <v>1</v>
      </c>
      <c r="AD158" s="3">
        <v>1</v>
      </c>
      <c r="AE158" s="3">
        <v>1</v>
      </c>
      <c r="AF158" s="3">
        <v>1</v>
      </c>
      <c r="AG158" s="3">
        <v>1</v>
      </c>
      <c r="AH158" s="3">
        <v>1</v>
      </c>
      <c r="AI158" s="3">
        <v>1</v>
      </c>
      <c r="AJ158" s="3">
        <v>1</v>
      </c>
      <c r="AK158" s="3"/>
      <c r="AL158" s="3"/>
      <c r="AM158" s="3"/>
      <c r="AN158" s="3">
        <v>1</v>
      </c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 x14ac:dyDescent="0.3">
      <c r="A159" s="3" t="s">
        <v>337</v>
      </c>
      <c r="B159" s="62">
        <v>31</v>
      </c>
      <c r="C159" s="64"/>
      <c r="D159" s="3" t="s">
        <v>19</v>
      </c>
      <c r="E159" s="3">
        <v>1</v>
      </c>
      <c r="F159" s="3">
        <v>1</v>
      </c>
      <c r="G159" s="3"/>
      <c r="H159" s="3"/>
      <c r="I159" s="3">
        <v>1</v>
      </c>
      <c r="J159" s="3">
        <v>1</v>
      </c>
      <c r="K159" s="3">
        <v>1</v>
      </c>
      <c r="L159" s="3">
        <v>1</v>
      </c>
      <c r="M159" s="3">
        <v>1</v>
      </c>
      <c r="N159" s="3">
        <v>1</v>
      </c>
      <c r="O159" s="3"/>
      <c r="P159" s="3">
        <v>1</v>
      </c>
      <c r="Q159" s="3">
        <v>1</v>
      </c>
      <c r="R159" s="3"/>
      <c r="S159" s="3"/>
      <c r="T159" s="3"/>
      <c r="U159" s="3"/>
      <c r="V159" s="3"/>
      <c r="W159" s="3"/>
      <c r="X159" s="3"/>
      <c r="Y159" s="3"/>
      <c r="Z159" s="3">
        <v>1</v>
      </c>
      <c r="AA159" s="3">
        <v>1</v>
      </c>
      <c r="AB159" s="3">
        <v>1</v>
      </c>
      <c r="AC159" s="3">
        <v>1</v>
      </c>
      <c r="AD159" s="3">
        <v>1</v>
      </c>
      <c r="AE159" s="3">
        <v>1</v>
      </c>
      <c r="AF159" s="3"/>
      <c r="AG159" s="3">
        <v>1</v>
      </c>
      <c r="AH159" s="3">
        <v>1</v>
      </c>
      <c r="AI159" s="3">
        <v>1</v>
      </c>
      <c r="AJ159" s="3">
        <v>1</v>
      </c>
      <c r="AK159" s="3">
        <v>1</v>
      </c>
      <c r="AL159" s="3"/>
      <c r="AM159" s="3">
        <v>1</v>
      </c>
      <c r="AN159" s="3">
        <v>1</v>
      </c>
      <c r="AO159" s="3">
        <v>1</v>
      </c>
      <c r="AP159" s="3">
        <v>1</v>
      </c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 x14ac:dyDescent="0.3">
      <c r="A160" s="3" t="s">
        <v>337</v>
      </c>
      <c r="B160" s="62">
        <v>31</v>
      </c>
      <c r="C160" s="64"/>
      <c r="D160" s="3" t="s">
        <v>192</v>
      </c>
      <c r="E160" s="3">
        <v>1</v>
      </c>
      <c r="F160" s="3">
        <v>1</v>
      </c>
      <c r="G160" s="3"/>
      <c r="H160" s="3"/>
      <c r="I160" s="3">
        <v>1</v>
      </c>
      <c r="J160" s="3">
        <v>1</v>
      </c>
      <c r="K160" s="3">
        <v>1</v>
      </c>
      <c r="L160" s="3">
        <v>1</v>
      </c>
      <c r="M160" s="3">
        <v>1</v>
      </c>
      <c r="N160" s="3">
        <v>1</v>
      </c>
      <c r="O160" s="3"/>
      <c r="P160" s="3">
        <v>1</v>
      </c>
      <c r="Q160" s="3">
        <v>1</v>
      </c>
      <c r="R160" s="3">
        <v>1</v>
      </c>
      <c r="S160" s="3">
        <v>1</v>
      </c>
      <c r="T160" s="3">
        <v>1</v>
      </c>
      <c r="U160" s="3"/>
      <c r="V160" s="3"/>
      <c r="W160" s="3"/>
      <c r="X160" s="3">
        <v>1</v>
      </c>
      <c r="Y160" s="3">
        <v>1</v>
      </c>
      <c r="Z160" s="3">
        <v>1</v>
      </c>
      <c r="AA160" s="3">
        <v>1</v>
      </c>
      <c r="AB160" s="3">
        <v>1</v>
      </c>
      <c r="AC160" s="3">
        <v>1</v>
      </c>
      <c r="AD160" s="3"/>
      <c r="AE160" s="3">
        <v>1</v>
      </c>
      <c r="AF160" s="3">
        <v>1</v>
      </c>
      <c r="AG160" s="3"/>
      <c r="AH160" s="3">
        <v>1</v>
      </c>
      <c r="AI160" s="3">
        <v>1</v>
      </c>
      <c r="AJ160" s="3">
        <v>1</v>
      </c>
      <c r="AK160" s="3">
        <v>1</v>
      </c>
      <c r="AL160" s="3"/>
      <c r="AM160" s="3">
        <v>1</v>
      </c>
      <c r="AN160" s="3">
        <v>1</v>
      </c>
      <c r="AO160" s="3">
        <v>1</v>
      </c>
      <c r="AP160" s="3">
        <v>1</v>
      </c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 x14ac:dyDescent="0.3">
      <c r="A161" s="3" t="s">
        <v>337</v>
      </c>
      <c r="B161" s="62">
        <v>31</v>
      </c>
      <c r="C161" s="64"/>
      <c r="D161" s="3" t="s">
        <v>10</v>
      </c>
      <c r="E161" s="3">
        <v>1</v>
      </c>
      <c r="F161" s="3">
        <v>1</v>
      </c>
      <c r="G161" s="3"/>
      <c r="H161" s="3"/>
      <c r="I161" s="3">
        <v>1</v>
      </c>
      <c r="J161" s="3">
        <v>1</v>
      </c>
      <c r="K161" s="3">
        <v>1</v>
      </c>
      <c r="L161" s="3">
        <v>1</v>
      </c>
      <c r="M161" s="3">
        <v>1</v>
      </c>
      <c r="N161" s="3">
        <v>1</v>
      </c>
      <c r="O161" s="3"/>
      <c r="P161" s="3">
        <v>1</v>
      </c>
      <c r="Q161" s="3">
        <v>1</v>
      </c>
      <c r="R161" s="3">
        <v>1</v>
      </c>
      <c r="S161" s="3">
        <v>1</v>
      </c>
      <c r="T161" s="3">
        <v>1</v>
      </c>
      <c r="U161" s="3">
        <v>1</v>
      </c>
      <c r="V161" s="3">
        <v>1</v>
      </c>
      <c r="W161" s="3">
        <v>1</v>
      </c>
      <c r="X161" s="3">
        <v>1</v>
      </c>
      <c r="Y161" s="3">
        <v>1</v>
      </c>
      <c r="Z161" s="3">
        <v>1</v>
      </c>
      <c r="AA161" s="3">
        <v>1</v>
      </c>
      <c r="AB161" s="3">
        <v>1</v>
      </c>
      <c r="AC161" s="3">
        <v>1</v>
      </c>
      <c r="AD161" s="3">
        <v>1</v>
      </c>
      <c r="AE161" s="3">
        <v>1</v>
      </c>
      <c r="AF161" s="3">
        <v>1</v>
      </c>
      <c r="AG161" s="3">
        <v>1</v>
      </c>
      <c r="AH161" s="3">
        <v>1</v>
      </c>
      <c r="AI161" s="3">
        <v>1</v>
      </c>
      <c r="AJ161" s="3">
        <v>1</v>
      </c>
      <c r="AK161" s="3"/>
      <c r="AL161" s="3"/>
      <c r="AM161" s="3">
        <v>1</v>
      </c>
      <c r="AN161" s="3">
        <v>1</v>
      </c>
      <c r="AO161" s="3"/>
      <c r="AP161" s="3">
        <v>1</v>
      </c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 x14ac:dyDescent="0.3">
      <c r="A162" s="3" t="s">
        <v>337</v>
      </c>
      <c r="B162" s="62">
        <v>31</v>
      </c>
      <c r="C162" s="64"/>
      <c r="D162" s="3" t="s">
        <v>69</v>
      </c>
      <c r="E162" s="3">
        <v>1</v>
      </c>
      <c r="F162" s="3">
        <v>1</v>
      </c>
      <c r="G162" s="3"/>
      <c r="H162" s="3"/>
      <c r="I162" s="3">
        <v>1</v>
      </c>
      <c r="J162" s="3">
        <v>1</v>
      </c>
      <c r="K162" s="3">
        <v>1</v>
      </c>
      <c r="L162" s="3">
        <v>1</v>
      </c>
      <c r="M162" s="3">
        <v>1</v>
      </c>
      <c r="N162" s="3">
        <v>1</v>
      </c>
      <c r="O162" s="3"/>
      <c r="P162" s="3">
        <v>1</v>
      </c>
      <c r="Q162" s="3">
        <v>1</v>
      </c>
      <c r="R162" s="3">
        <v>1</v>
      </c>
      <c r="S162" s="3">
        <v>1</v>
      </c>
      <c r="T162" s="3">
        <v>1</v>
      </c>
      <c r="U162" s="3">
        <v>1</v>
      </c>
      <c r="V162" s="3">
        <v>1</v>
      </c>
      <c r="W162" s="3">
        <v>1</v>
      </c>
      <c r="X162" s="3">
        <v>1</v>
      </c>
      <c r="Y162" s="3">
        <v>1</v>
      </c>
      <c r="Z162" s="3"/>
      <c r="AA162" s="3">
        <v>1</v>
      </c>
      <c r="AB162" s="3"/>
      <c r="AC162" s="3"/>
      <c r="AD162" s="3">
        <v>1</v>
      </c>
      <c r="AE162" s="3">
        <v>1</v>
      </c>
      <c r="AF162" s="3">
        <v>1</v>
      </c>
      <c r="AG162" s="3">
        <v>1</v>
      </c>
      <c r="AH162" s="3"/>
      <c r="AI162" s="3"/>
      <c r="AJ162" s="3"/>
      <c r="AK162" s="3">
        <v>1</v>
      </c>
      <c r="AL162" s="3"/>
      <c r="AM162" s="3">
        <v>1</v>
      </c>
      <c r="AN162" s="3"/>
      <c r="AO162" s="3">
        <v>1</v>
      </c>
      <c r="AP162" s="3">
        <v>1</v>
      </c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 x14ac:dyDescent="0.3">
      <c r="A163" s="3" t="s">
        <v>337</v>
      </c>
      <c r="B163" s="62">
        <v>31</v>
      </c>
      <c r="C163" s="64"/>
      <c r="D163" s="3" t="s">
        <v>142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 x14ac:dyDescent="0.3">
      <c r="A164" s="3" t="s">
        <v>337</v>
      </c>
      <c r="B164" s="62">
        <v>31</v>
      </c>
      <c r="C164" s="64"/>
      <c r="D164" s="3" t="s">
        <v>317</v>
      </c>
      <c r="E164" s="3">
        <v>1</v>
      </c>
      <c r="F164" s="3">
        <v>1</v>
      </c>
      <c r="G164" s="3"/>
      <c r="H164" s="3"/>
      <c r="I164" s="3"/>
      <c r="J164" s="3"/>
      <c r="K164" s="3"/>
      <c r="L164" s="3">
        <v>1</v>
      </c>
      <c r="M164" s="3"/>
      <c r="N164" s="3"/>
      <c r="O164" s="3"/>
      <c r="P164" s="3"/>
      <c r="Q164" s="3"/>
      <c r="R164" s="3"/>
      <c r="S164" s="3"/>
      <c r="T164" s="3"/>
      <c r="U164" s="3">
        <v>1</v>
      </c>
      <c r="V164" s="3"/>
      <c r="W164" s="3"/>
      <c r="X164" s="3"/>
      <c r="Y164" s="3">
        <v>1</v>
      </c>
      <c r="Z164" s="3"/>
      <c r="AA164" s="3"/>
      <c r="AB164" s="3"/>
      <c r="AC164" s="3"/>
      <c r="AD164" s="3"/>
      <c r="AE164" s="3">
        <v>1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 x14ac:dyDescent="0.3">
      <c r="A165" s="3" t="s">
        <v>337</v>
      </c>
      <c r="B165" s="62">
        <v>31</v>
      </c>
      <c r="C165" s="64"/>
      <c r="D165" s="3" t="s">
        <v>318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>
        <v>1</v>
      </c>
      <c r="Y165" s="3"/>
      <c r="Z165" s="3"/>
      <c r="AA165" s="3"/>
      <c r="AB165" s="3"/>
      <c r="AC165" s="3"/>
      <c r="AD165" s="3">
        <v>1</v>
      </c>
      <c r="AE165" s="3">
        <v>1</v>
      </c>
      <c r="AF165" s="3">
        <v>1</v>
      </c>
      <c r="AG165" s="3"/>
      <c r="AH165" s="3">
        <v>1</v>
      </c>
      <c r="AI165" s="3"/>
      <c r="AJ165" s="3"/>
      <c r="AK165" s="3">
        <v>1</v>
      </c>
      <c r="AL165" s="3"/>
      <c r="AM165" s="3">
        <v>1</v>
      </c>
      <c r="AN165" s="3">
        <v>1</v>
      </c>
      <c r="AO165" s="3">
        <v>1</v>
      </c>
      <c r="AP165" s="3">
        <v>1</v>
      </c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 x14ac:dyDescent="0.3">
      <c r="A166" s="3" t="s">
        <v>337</v>
      </c>
      <c r="B166" s="62">
        <v>31</v>
      </c>
      <c r="C166" s="64"/>
      <c r="D166" s="3" t="s">
        <v>116</v>
      </c>
      <c r="E166" s="3">
        <v>1</v>
      </c>
      <c r="F166" s="3"/>
      <c r="G166" s="3"/>
      <c r="H166" s="3"/>
      <c r="I166" s="3">
        <v>1</v>
      </c>
      <c r="J166" s="3">
        <v>1</v>
      </c>
      <c r="K166" s="3"/>
      <c r="L166" s="3">
        <v>1</v>
      </c>
      <c r="M166" s="3"/>
      <c r="N166" s="3">
        <v>1</v>
      </c>
      <c r="O166" s="3"/>
      <c r="P166" s="3">
        <v>1</v>
      </c>
      <c r="Q166" s="3"/>
      <c r="R166" s="3"/>
      <c r="S166" s="3">
        <v>1</v>
      </c>
      <c r="T166" s="3">
        <v>1</v>
      </c>
      <c r="U166" s="3"/>
      <c r="V166" s="3">
        <v>1</v>
      </c>
      <c r="W166" s="3">
        <v>1</v>
      </c>
      <c r="X166" s="3">
        <v>1</v>
      </c>
      <c r="Y166" s="3">
        <v>1</v>
      </c>
      <c r="Z166" s="3">
        <v>1</v>
      </c>
      <c r="AA166" s="3">
        <v>1</v>
      </c>
      <c r="AB166" s="3"/>
      <c r="AC166" s="3">
        <v>1</v>
      </c>
      <c r="AD166" s="3">
        <v>1</v>
      </c>
      <c r="AE166" s="3">
        <v>1</v>
      </c>
      <c r="AF166" s="3">
        <v>1</v>
      </c>
      <c r="AG166" s="3">
        <v>1</v>
      </c>
      <c r="AH166" s="3">
        <v>1</v>
      </c>
      <c r="AI166" s="3">
        <v>1</v>
      </c>
      <c r="AJ166" s="3">
        <v>1</v>
      </c>
      <c r="AK166" s="3">
        <v>1</v>
      </c>
      <c r="AL166" s="3"/>
      <c r="AM166" s="3">
        <v>1</v>
      </c>
      <c r="AN166" s="3"/>
      <c r="AO166" s="3">
        <v>1</v>
      </c>
      <c r="AP166" s="3">
        <v>1</v>
      </c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 x14ac:dyDescent="0.3">
      <c r="A167" s="3" t="s">
        <v>337</v>
      </c>
      <c r="B167" s="62">
        <v>31</v>
      </c>
      <c r="C167" s="64"/>
      <c r="D167" s="3" t="s">
        <v>253</v>
      </c>
      <c r="E167" s="3"/>
      <c r="F167" s="3"/>
      <c r="G167" s="3"/>
      <c r="H167" s="3"/>
      <c r="I167" s="3">
        <v>1</v>
      </c>
      <c r="J167" s="3">
        <v>1</v>
      </c>
      <c r="K167" s="3">
        <v>1</v>
      </c>
      <c r="L167" s="3">
        <v>1</v>
      </c>
      <c r="M167" s="3">
        <v>1</v>
      </c>
      <c r="N167" s="3">
        <v>1</v>
      </c>
      <c r="O167" s="3"/>
      <c r="P167" s="3">
        <v>1</v>
      </c>
      <c r="Q167" s="3"/>
      <c r="R167" s="3"/>
      <c r="S167" s="3"/>
      <c r="T167" s="3">
        <v>1</v>
      </c>
      <c r="U167" s="3"/>
      <c r="V167" s="3"/>
      <c r="W167" s="3">
        <v>1</v>
      </c>
      <c r="X167" s="3"/>
      <c r="Y167" s="3"/>
      <c r="Z167" s="3"/>
      <c r="AA167" s="3">
        <v>1</v>
      </c>
      <c r="AB167" s="3"/>
      <c r="AC167" s="3">
        <v>1</v>
      </c>
      <c r="AD167" s="3">
        <v>1</v>
      </c>
      <c r="AE167" s="3">
        <v>1</v>
      </c>
      <c r="AF167" s="3"/>
      <c r="AG167" s="3">
        <v>1</v>
      </c>
      <c r="AH167" s="3">
        <v>1</v>
      </c>
      <c r="AI167" s="3">
        <v>1</v>
      </c>
      <c r="AJ167" s="3">
        <v>1</v>
      </c>
      <c r="AK167" s="3">
        <v>1</v>
      </c>
      <c r="AL167" s="3"/>
      <c r="AM167" s="3">
        <v>1</v>
      </c>
      <c r="AN167" s="3">
        <v>1</v>
      </c>
      <c r="AO167" s="3">
        <v>1</v>
      </c>
      <c r="AP167" s="3">
        <v>1</v>
      </c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 x14ac:dyDescent="0.3">
      <c r="A168" s="3" t="s">
        <v>337</v>
      </c>
      <c r="B168" s="62">
        <v>31</v>
      </c>
      <c r="C168" s="64"/>
      <c r="D168" s="3" t="s">
        <v>319</v>
      </c>
      <c r="E168" s="3">
        <v>1</v>
      </c>
      <c r="F168" s="3">
        <v>1</v>
      </c>
      <c r="G168" s="3"/>
      <c r="H168" s="3"/>
      <c r="I168" s="3"/>
      <c r="J168" s="3"/>
      <c r="K168" s="3"/>
      <c r="L168" s="3"/>
      <c r="M168" s="3">
        <v>1</v>
      </c>
      <c r="N168" s="3"/>
      <c r="O168" s="3"/>
      <c r="P168" s="3"/>
      <c r="Q168" s="3"/>
      <c r="R168" s="3"/>
      <c r="S168" s="3"/>
      <c r="T168" s="3"/>
      <c r="U168" s="3"/>
      <c r="V168" s="3">
        <v>1</v>
      </c>
      <c r="W168" s="3"/>
      <c r="X168" s="3"/>
      <c r="Y168" s="3"/>
      <c r="Z168" s="3"/>
      <c r="AA168" s="3"/>
      <c r="AB168" s="3"/>
      <c r="AC168" s="3">
        <v>1</v>
      </c>
      <c r="AD168" s="3"/>
      <c r="AE168" s="3">
        <v>1</v>
      </c>
      <c r="AF168" s="3"/>
      <c r="AG168" s="3">
        <v>1</v>
      </c>
      <c r="AH168" s="3"/>
      <c r="AI168" s="3"/>
      <c r="AJ168" s="3"/>
      <c r="AK168" s="3"/>
      <c r="AL168" s="3"/>
      <c r="AM168" s="3"/>
      <c r="AN168" s="3">
        <v>1</v>
      </c>
      <c r="AO168" s="3"/>
      <c r="AP168" s="3">
        <v>1</v>
      </c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 x14ac:dyDescent="0.3">
      <c r="A169" s="3" t="s">
        <v>337</v>
      </c>
      <c r="B169" s="62">
        <v>32</v>
      </c>
      <c r="C169" s="64"/>
      <c r="D169" s="3" t="s">
        <v>78</v>
      </c>
      <c r="E169" s="3">
        <v>1</v>
      </c>
      <c r="F169" s="3">
        <v>1</v>
      </c>
      <c r="G169" s="3"/>
      <c r="H169" s="3"/>
      <c r="I169" s="3"/>
      <c r="J169" s="3">
        <v>1</v>
      </c>
      <c r="K169" s="3">
        <v>1</v>
      </c>
      <c r="L169" s="3">
        <v>1</v>
      </c>
      <c r="M169" s="3"/>
      <c r="N169" s="3">
        <v>1</v>
      </c>
      <c r="O169" s="3"/>
      <c r="P169" s="3">
        <v>1</v>
      </c>
      <c r="Q169" s="3"/>
      <c r="R169" s="3">
        <v>1</v>
      </c>
      <c r="S169" s="3">
        <v>1</v>
      </c>
      <c r="T169" s="3">
        <v>1</v>
      </c>
      <c r="U169" s="3"/>
      <c r="V169" s="3">
        <v>1</v>
      </c>
      <c r="W169" s="3">
        <v>1</v>
      </c>
      <c r="X169" s="3">
        <v>1</v>
      </c>
      <c r="Y169" s="3"/>
      <c r="Z169" s="3">
        <v>1</v>
      </c>
      <c r="AA169" s="3">
        <v>1</v>
      </c>
      <c r="AB169" s="3">
        <v>1</v>
      </c>
      <c r="AC169" s="3"/>
      <c r="AD169" s="3">
        <v>1</v>
      </c>
      <c r="AE169" s="3">
        <v>1</v>
      </c>
      <c r="AF169" s="3">
        <v>1</v>
      </c>
      <c r="AG169" s="3"/>
      <c r="AH169" s="3">
        <v>1</v>
      </c>
      <c r="AI169" s="3">
        <v>1</v>
      </c>
      <c r="AJ169" s="3">
        <v>1</v>
      </c>
      <c r="AK169" s="3">
        <v>1</v>
      </c>
      <c r="AL169" s="3"/>
      <c r="AM169" s="3"/>
      <c r="AN169" s="3"/>
      <c r="AO169" s="3">
        <v>1</v>
      </c>
      <c r="AP169" s="3">
        <v>1</v>
      </c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 x14ac:dyDescent="0.3">
      <c r="A170" s="3" t="s">
        <v>337</v>
      </c>
      <c r="B170" s="62">
        <v>32</v>
      </c>
      <c r="C170" s="64"/>
      <c r="D170" s="3" t="s">
        <v>93</v>
      </c>
      <c r="E170" s="3"/>
      <c r="F170" s="3">
        <v>1</v>
      </c>
      <c r="G170" s="3"/>
      <c r="H170" s="3"/>
      <c r="I170" s="3">
        <v>1</v>
      </c>
      <c r="J170" s="3">
        <v>1</v>
      </c>
      <c r="K170" s="3">
        <v>1</v>
      </c>
      <c r="L170" s="3">
        <v>1</v>
      </c>
      <c r="M170" s="3">
        <v>1</v>
      </c>
      <c r="N170" s="3">
        <v>1</v>
      </c>
      <c r="O170" s="3"/>
      <c r="P170" s="3">
        <v>1</v>
      </c>
      <c r="Q170" s="3">
        <v>1</v>
      </c>
      <c r="R170" s="3">
        <v>1</v>
      </c>
      <c r="S170" s="3">
        <v>1</v>
      </c>
      <c r="T170" s="3">
        <v>1</v>
      </c>
      <c r="U170" s="3">
        <v>1</v>
      </c>
      <c r="V170" s="3">
        <v>1</v>
      </c>
      <c r="W170" s="3">
        <v>1</v>
      </c>
      <c r="X170" s="3">
        <v>1</v>
      </c>
      <c r="Y170" s="3">
        <v>1</v>
      </c>
      <c r="Z170" s="3">
        <v>1</v>
      </c>
      <c r="AA170" s="3">
        <v>1</v>
      </c>
      <c r="AB170" s="3">
        <v>1</v>
      </c>
      <c r="AC170" s="3">
        <v>1</v>
      </c>
      <c r="AD170" s="3">
        <v>1</v>
      </c>
      <c r="AE170" s="3">
        <v>1</v>
      </c>
      <c r="AF170" s="3">
        <v>1</v>
      </c>
      <c r="AG170" s="3">
        <v>1</v>
      </c>
      <c r="AH170" s="3">
        <v>1</v>
      </c>
      <c r="AI170" s="3">
        <v>1</v>
      </c>
      <c r="AJ170" s="3">
        <v>1</v>
      </c>
      <c r="AK170" s="3">
        <v>1</v>
      </c>
      <c r="AL170" s="3"/>
      <c r="AM170" s="3">
        <v>1</v>
      </c>
      <c r="AN170" s="3">
        <v>1</v>
      </c>
      <c r="AO170" s="3">
        <v>1</v>
      </c>
      <c r="AP170" s="3">
        <v>1</v>
      </c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 x14ac:dyDescent="0.3">
      <c r="A171" s="3" t="s">
        <v>337</v>
      </c>
      <c r="B171" s="62">
        <v>32</v>
      </c>
      <c r="C171" s="64"/>
      <c r="D171" s="3" t="s">
        <v>162</v>
      </c>
      <c r="E171" s="3">
        <v>1</v>
      </c>
      <c r="F171" s="3"/>
      <c r="G171" s="3"/>
      <c r="H171" s="3"/>
      <c r="I171" s="3">
        <v>1</v>
      </c>
      <c r="J171" s="3">
        <v>1</v>
      </c>
      <c r="K171" s="3">
        <v>1</v>
      </c>
      <c r="L171" s="3">
        <v>1</v>
      </c>
      <c r="M171" s="3">
        <v>1</v>
      </c>
      <c r="N171" s="3">
        <v>1</v>
      </c>
      <c r="O171" s="3"/>
      <c r="P171" s="3">
        <v>1</v>
      </c>
      <c r="Q171" s="3">
        <v>1</v>
      </c>
      <c r="R171" s="3">
        <v>1</v>
      </c>
      <c r="S171" s="3">
        <v>1</v>
      </c>
      <c r="T171" s="3">
        <v>1</v>
      </c>
      <c r="U171" s="3">
        <v>1</v>
      </c>
      <c r="V171" s="3">
        <v>1</v>
      </c>
      <c r="W171" s="3">
        <v>1</v>
      </c>
      <c r="X171" s="3">
        <v>1</v>
      </c>
      <c r="Y171" s="3"/>
      <c r="Z171" s="3">
        <v>1</v>
      </c>
      <c r="AA171" s="3">
        <v>1</v>
      </c>
      <c r="AB171" s="3">
        <v>1</v>
      </c>
      <c r="AC171" s="3">
        <v>1</v>
      </c>
      <c r="AD171" s="3"/>
      <c r="AE171" s="3">
        <v>1</v>
      </c>
      <c r="AF171" s="3">
        <v>1</v>
      </c>
      <c r="AG171" s="3">
        <v>1</v>
      </c>
      <c r="AH171" s="3">
        <v>1</v>
      </c>
      <c r="AI171" s="3"/>
      <c r="AJ171" s="3">
        <v>1</v>
      </c>
      <c r="AK171" s="3">
        <v>1</v>
      </c>
      <c r="AL171" s="3"/>
      <c r="AM171" s="3">
        <v>1</v>
      </c>
      <c r="AN171" s="3">
        <v>1</v>
      </c>
      <c r="AO171" s="3">
        <v>1</v>
      </c>
      <c r="AP171" s="3">
        <v>1</v>
      </c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 x14ac:dyDescent="0.3">
      <c r="A172" s="3" t="s">
        <v>337</v>
      </c>
      <c r="B172" s="62">
        <v>32</v>
      </c>
      <c r="C172" s="64"/>
      <c r="D172" s="3" t="s">
        <v>196</v>
      </c>
      <c r="E172" s="3">
        <v>1</v>
      </c>
      <c r="F172" s="3">
        <v>1</v>
      </c>
      <c r="G172" s="3"/>
      <c r="H172" s="3"/>
      <c r="I172" s="3">
        <v>1</v>
      </c>
      <c r="J172" s="3">
        <v>1</v>
      </c>
      <c r="K172" s="3">
        <v>1</v>
      </c>
      <c r="L172" s="3">
        <v>1</v>
      </c>
      <c r="M172" s="3">
        <v>1</v>
      </c>
      <c r="N172" s="3">
        <v>1</v>
      </c>
      <c r="O172" s="3"/>
      <c r="P172" s="3">
        <v>1</v>
      </c>
      <c r="Q172" s="3"/>
      <c r="R172" s="3">
        <v>1</v>
      </c>
      <c r="S172" s="3">
        <v>1</v>
      </c>
      <c r="T172" s="3">
        <v>1</v>
      </c>
      <c r="U172" s="3">
        <v>1</v>
      </c>
      <c r="V172" s="3"/>
      <c r="W172" s="3">
        <v>1</v>
      </c>
      <c r="X172" s="3">
        <v>1</v>
      </c>
      <c r="Y172" s="3">
        <v>1</v>
      </c>
      <c r="Z172" s="3">
        <v>1</v>
      </c>
      <c r="AA172" s="3"/>
      <c r="AB172" s="3">
        <v>1</v>
      </c>
      <c r="AC172" s="3">
        <v>1</v>
      </c>
      <c r="AD172" s="3">
        <v>1</v>
      </c>
      <c r="AE172" s="3"/>
      <c r="AF172" s="3"/>
      <c r="AG172" s="3">
        <v>1</v>
      </c>
      <c r="AH172" s="3"/>
      <c r="AI172" s="3">
        <v>1</v>
      </c>
      <c r="AJ172" s="3">
        <v>1</v>
      </c>
      <c r="AK172" s="3">
        <v>1</v>
      </c>
      <c r="AL172" s="3"/>
      <c r="AM172" s="3">
        <v>1</v>
      </c>
      <c r="AN172" s="3">
        <v>1</v>
      </c>
      <c r="AO172" s="3">
        <v>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 x14ac:dyDescent="0.3">
      <c r="A173" s="3" t="s">
        <v>337</v>
      </c>
      <c r="B173" s="62">
        <v>32</v>
      </c>
      <c r="C173" s="64"/>
      <c r="D173" s="3" t="s">
        <v>96</v>
      </c>
      <c r="E173" s="3">
        <v>1</v>
      </c>
      <c r="F173" s="3">
        <v>1</v>
      </c>
      <c r="G173" s="3"/>
      <c r="H173" s="3"/>
      <c r="I173" s="3">
        <v>1</v>
      </c>
      <c r="J173" s="3">
        <v>1</v>
      </c>
      <c r="K173" s="3">
        <v>1</v>
      </c>
      <c r="L173" s="3">
        <v>1</v>
      </c>
      <c r="M173" s="3">
        <v>1</v>
      </c>
      <c r="N173" s="3">
        <v>1</v>
      </c>
      <c r="O173" s="3"/>
      <c r="P173" s="3">
        <v>1</v>
      </c>
      <c r="Q173" s="3">
        <v>1</v>
      </c>
      <c r="R173" s="3">
        <v>1</v>
      </c>
      <c r="S173" s="3">
        <v>1</v>
      </c>
      <c r="T173" s="3">
        <v>1</v>
      </c>
      <c r="U173" s="3">
        <v>1</v>
      </c>
      <c r="V173" s="3">
        <v>1</v>
      </c>
      <c r="W173" s="3">
        <v>1</v>
      </c>
      <c r="X173" s="3">
        <v>1</v>
      </c>
      <c r="Y173" s="3">
        <v>1</v>
      </c>
      <c r="Z173" s="3">
        <v>1</v>
      </c>
      <c r="AA173" s="3">
        <v>1</v>
      </c>
      <c r="AB173" s="3">
        <v>1</v>
      </c>
      <c r="AC173" s="3">
        <v>1</v>
      </c>
      <c r="AD173" s="3"/>
      <c r="AE173" s="3">
        <v>1</v>
      </c>
      <c r="AF173" s="3"/>
      <c r="AG173" s="3">
        <v>1</v>
      </c>
      <c r="AH173" s="3">
        <v>1</v>
      </c>
      <c r="AI173" s="3">
        <v>1</v>
      </c>
      <c r="AJ173" s="3">
        <v>1</v>
      </c>
      <c r="AK173" s="3">
        <v>1</v>
      </c>
      <c r="AL173" s="3"/>
      <c r="AM173" s="3"/>
      <c r="AN173" s="3"/>
      <c r="AO173" s="3">
        <v>1</v>
      </c>
      <c r="AP173" s="3">
        <v>1</v>
      </c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 x14ac:dyDescent="0.3">
      <c r="A174" s="3" t="s">
        <v>337</v>
      </c>
      <c r="B174" s="62">
        <v>32</v>
      </c>
      <c r="C174" s="64"/>
      <c r="D174" s="3" t="s">
        <v>165</v>
      </c>
      <c r="E174" s="3">
        <v>1</v>
      </c>
      <c r="F174" s="3">
        <v>1</v>
      </c>
      <c r="G174" s="3"/>
      <c r="H174" s="3"/>
      <c r="I174" s="3">
        <v>1</v>
      </c>
      <c r="J174" s="3">
        <v>1</v>
      </c>
      <c r="K174" s="3">
        <v>1</v>
      </c>
      <c r="L174" s="3">
        <v>1</v>
      </c>
      <c r="M174" s="3">
        <v>1</v>
      </c>
      <c r="N174" s="3">
        <v>1</v>
      </c>
      <c r="O174" s="3"/>
      <c r="P174" s="3">
        <v>1</v>
      </c>
      <c r="Q174" s="3">
        <v>1</v>
      </c>
      <c r="R174" s="3">
        <v>1</v>
      </c>
      <c r="S174" s="3">
        <v>1</v>
      </c>
      <c r="T174" s="3">
        <v>1</v>
      </c>
      <c r="U174" s="3">
        <v>1</v>
      </c>
      <c r="V174" s="3">
        <v>1</v>
      </c>
      <c r="W174" s="3">
        <v>1</v>
      </c>
      <c r="X174" s="3">
        <v>1</v>
      </c>
      <c r="Y174" s="3">
        <v>1</v>
      </c>
      <c r="Z174" s="3">
        <v>1</v>
      </c>
      <c r="AA174" s="3">
        <v>1</v>
      </c>
      <c r="AB174" s="3"/>
      <c r="AC174" s="3">
        <v>1</v>
      </c>
      <c r="AD174" s="3">
        <v>1</v>
      </c>
      <c r="AE174" s="3">
        <v>1</v>
      </c>
      <c r="AF174" s="3">
        <v>1</v>
      </c>
      <c r="AG174" s="3">
        <v>1</v>
      </c>
      <c r="AH174" s="3">
        <v>1</v>
      </c>
      <c r="AI174" s="3">
        <v>1</v>
      </c>
      <c r="AJ174" s="3">
        <v>1</v>
      </c>
      <c r="AK174" s="3">
        <v>1</v>
      </c>
      <c r="AL174" s="3"/>
      <c r="AM174" s="3">
        <v>1</v>
      </c>
      <c r="AN174" s="3">
        <v>1</v>
      </c>
      <c r="AO174" s="3">
        <v>1</v>
      </c>
      <c r="AP174" s="3">
        <v>1</v>
      </c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 x14ac:dyDescent="0.3">
      <c r="A175" s="3" t="s">
        <v>337</v>
      </c>
      <c r="B175" s="62">
        <v>32</v>
      </c>
      <c r="C175" s="64"/>
      <c r="D175" s="3" t="s">
        <v>109</v>
      </c>
      <c r="E175" s="3">
        <v>1</v>
      </c>
      <c r="F175" s="3">
        <v>1</v>
      </c>
      <c r="G175" s="3"/>
      <c r="H175" s="3"/>
      <c r="I175" s="3">
        <v>1</v>
      </c>
      <c r="J175" s="3">
        <v>1</v>
      </c>
      <c r="K175" s="3">
        <v>1</v>
      </c>
      <c r="L175" s="3">
        <v>1</v>
      </c>
      <c r="M175" s="3">
        <v>1</v>
      </c>
      <c r="N175" s="3">
        <v>1</v>
      </c>
      <c r="O175" s="3"/>
      <c r="P175" s="3">
        <v>1</v>
      </c>
      <c r="Q175" s="3">
        <v>1</v>
      </c>
      <c r="R175" s="3">
        <v>1</v>
      </c>
      <c r="S175" s="3">
        <v>1</v>
      </c>
      <c r="T175" s="3">
        <v>1</v>
      </c>
      <c r="U175" s="3">
        <v>1</v>
      </c>
      <c r="V175" s="3">
        <v>1</v>
      </c>
      <c r="W175" s="3">
        <v>1</v>
      </c>
      <c r="X175" s="3">
        <v>1</v>
      </c>
      <c r="Y175" s="3">
        <v>1</v>
      </c>
      <c r="Z175" s="3">
        <v>1</v>
      </c>
      <c r="AA175" s="3">
        <v>1</v>
      </c>
      <c r="AB175" s="3">
        <v>1</v>
      </c>
      <c r="AC175" s="3">
        <v>1</v>
      </c>
      <c r="AD175" s="3">
        <v>1</v>
      </c>
      <c r="AE175" s="3">
        <v>1</v>
      </c>
      <c r="AF175" s="3">
        <v>1</v>
      </c>
      <c r="AG175" s="3">
        <v>1</v>
      </c>
      <c r="AH175" s="3">
        <v>1</v>
      </c>
      <c r="AI175" s="3">
        <v>1</v>
      </c>
      <c r="AJ175" s="3">
        <v>1</v>
      </c>
      <c r="AK175" s="3">
        <v>1</v>
      </c>
      <c r="AL175" s="3"/>
      <c r="AM175" s="3">
        <v>1</v>
      </c>
      <c r="AN175" s="3">
        <v>1</v>
      </c>
      <c r="AO175" s="3">
        <v>1</v>
      </c>
      <c r="AP175" s="3">
        <v>1</v>
      </c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 x14ac:dyDescent="0.3">
      <c r="A176" s="3" t="s">
        <v>337</v>
      </c>
      <c r="B176" s="62">
        <v>32</v>
      </c>
      <c r="C176" s="64"/>
      <c r="D176" s="3" t="s">
        <v>110</v>
      </c>
      <c r="E176" s="3">
        <v>1</v>
      </c>
      <c r="F176" s="3">
        <v>1</v>
      </c>
      <c r="G176" s="3"/>
      <c r="H176" s="3"/>
      <c r="I176" s="3">
        <v>1</v>
      </c>
      <c r="J176" s="3">
        <v>1</v>
      </c>
      <c r="K176" s="3">
        <v>1</v>
      </c>
      <c r="L176" s="3">
        <v>1</v>
      </c>
      <c r="M176" s="3">
        <v>1</v>
      </c>
      <c r="N176" s="3">
        <v>1</v>
      </c>
      <c r="O176" s="3"/>
      <c r="P176" s="3">
        <v>1</v>
      </c>
      <c r="Q176" s="3">
        <v>1</v>
      </c>
      <c r="R176" s="3">
        <v>1</v>
      </c>
      <c r="S176" s="3">
        <v>1</v>
      </c>
      <c r="T176" s="3">
        <v>1</v>
      </c>
      <c r="U176" s="3">
        <v>1</v>
      </c>
      <c r="V176" s="3"/>
      <c r="W176" s="3">
        <v>1</v>
      </c>
      <c r="X176" s="3">
        <v>1</v>
      </c>
      <c r="Y176" s="3">
        <v>1</v>
      </c>
      <c r="Z176" s="3">
        <v>1</v>
      </c>
      <c r="AA176" s="3">
        <v>1</v>
      </c>
      <c r="AB176" s="3">
        <v>1</v>
      </c>
      <c r="AC176" s="3">
        <v>1</v>
      </c>
      <c r="AD176" s="3">
        <v>1</v>
      </c>
      <c r="AE176" s="3">
        <v>1</v>
      </c>
      <c r="AF176" s="3">
        <v>1</v>
      </c>
      <c r="AG176" s="3">
        <v>1</v>
      </c>
      <c r="AH176" s="3">
        <v>1</v>
      </c>
      <c r="AI176" s="3">
        <v>1</v>
      </c>
      <c r="AJ176" s="3">
        <v>1</v>
      </c>
      <c r="AK176" s="3">
        <v>1</v>
      </c>
      <c r="AL176" s="3"/>
      <c r="AM176" s="3">
        <v>1</v>
      </c>
      <c r="AN176" s="3">
        <v>1</v>
      </c>
      <c r="AO176" s="3">
        <v>1</v>
      </c>
      <c r="AP176" s="3">
        <v>1</v>
      </c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 x14ac:dyDescent="0.3">
      <c r="A177" s="3" t="s">
        <v>337</v>
      </c>
      <c r="B177" s="62">
        <v>32</v>
      </c>
      <c r="C177" s="64"/>
      <c r="D177" s="3" t="s">
        <v>167</v>
      </c>
      <c r="E177" s="3">
        <v>1</v>
      </c>
      <c r="F177" s="3">
        <v>1</v>
      </c>
      <c r="G177" s="3"/>
      <c r="H177" s="3"/>
      <c r="I177" s="3">
        <v>1</v>
      </c>
      <c r="J177" s="3">
        <v>1</v>
      </c>
      <c r="K177" s="3">
        <v>1</v>
      </c>
      <c r="L177" s="3">
        <v>1</v>
      </c>
      <c r="M177" s="3">
        <v>1</v>
      </c>
      <c r="N177" s="3">
        <v>1</v>
      </c>
      <c r="O177" s="3"/>
      <c r="P177" s="3">
        <v>1</v>
      </c>
      <c r="Q177" s="3">
        <v>1</v>
      </c>
      <c r="R177" s="3">
        <v>1</v>
      </c>
      <c r="S177" s="3">
        <v>1</v>
      </c>
      <c r="T177" s="3">
        <v>1</v>
      </c>
      <c r="U177" s="3">
        <v>1</v>
      </c>
      <c r="V177" s="3">
        <v>1</v>
      </c>
      <c r="W177" s="3">
        <v>1</v>
      </c>
      <c r="X177" s="3">
        <v>1</v>
      </c>
      <c r="Y177" s="3">
        <v>1</v>
      </c>
      <c r="Z177" s="3">
        <v>1</v>
      </c>
      <c r="AA177" s="3">
        <v>1</v>
      </c>
      <c r="AB177" s="3">
        <v>1</v>
      </c>
      <c r="AC177" s="3">
        <v>1</v>
      </c>
      <c r="AD177" s="3">
        <v>1</v>
      </c>
      <c r="AE177" s="3">
        <v>1</v>
      </c>
      <c r="AF177" s="3">
        <v>1</v>
      </c>
      <c r="AG177" s="3">
        <v>1</v>
      </c>
      <c r="AH177" s="3">
        <v>1</v>
      </c>
      <c r="AI177" s="3">
        <v>1</v>
      </c>
      <c r="AJ177" s="3">
        <v>1</v>
      </c>
      <c r="AK177" s="3">
        <v>1</v>
      </c>
      <c r="AL177" s="3"/>
      <c r="AM177" s="3">
        <v>1</v>
      </c>
      <c r="AN177" s="3">
        <v>1</v>
      </c>
      <c r="AO177" s="3">
        <v>1</v>
      </c>
      <c r="AP177" s="3">
        <v>1</v>
      </c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 x14ac:dyDescent="0.3">
      <c r="A178" s="3" t="s">
        <v>337</v>
      </c>
      <c r="B178" s="62">
        <v>32</v>
      </c>
      <c r="C178" s="64"/>
      <c r="D178" s="3" t="s">
        <v>101</v>
      </c>
      <c r="E178" s="3">
        <v>1</v>
      </c>
      <c r="F178" s="3">
        <v>1</v>
      </c>
      <c r="G178" s="3"/>
      <c r="H178" s="3"/>
      <c r="I178" s="3">
        <v>1</v>
      </c>
      <c r="J178" s="3">
        <v>1</v>
      </c>
      <c r="K178" s="3">
        <v>1</v>
      </c>
      <c r="L178" s="3">
        <v>1</v>
      </c>
      <c r="M178" s="3">
        <v>1</v>
      </c>
      <c r="N178" s="3">
        <v>1</v>
      </c>
      <c r="O178" s="3"/>
      <c r="P178" s="3">
        <v>1</v>
      </c>
      <c r="Q178" s="3">
        <v>1</v>
      </c>
      <c r="R178" s="3">
        <v>1</v>
      </c>
      <c r="S178" s="3">
        <v>1</v>
      </c>
      <c r="T178" s="3">
        <v>1</v>
      </c>
      <c r="U178" s="3">
        <v>1</v>
      </c>
      <c r="V178" s="3">
        <v>1</v>
      </c>
      <c r="W178" s="3">
        <v>1</v>
      </c>
      <c r="X178" s="3">
        <v>1</v>
      </c>
      <c r="Y178" s="3">
        <v>1</v>
      </c>
      <c r="Z178" s="3">
        <v>1</v>
      </c>
      <c r="AA178" s="3">
        <v>1</v>
      </c>
      <c r="AB178" s="3">
        <v>1</v>
      </c>
      <c r="AC178" s="3">
        <v>1</v>
      </c>
      <c r="AD178" s="3">
        <v>1</v>
      </c>
      <c r="AE178" s="3">
        <v>1</v>
      </c>
      <c r="AF178" s="3">
        <v>1</v>
      </c>
      <c r="AG178" s="3">
        <v>1</v>
      </c>
      <c r="AH178" s="3">
        <v>1</v>
      </c>
      <c r="AI178" s="3">
        <v>1</v>
      </c>
      <c r="AJ178" s="3">
        <v>1</v>
      </c>
      <c r="AK178" s="3">
        <v>1</v>
      </c>
      <c r="AL178" s="3"/>
      <c r="AM178" s="3">
        <v>1</v>
      </c>
      <c r="AN178" s="3">
        <v>1</v>
      </c>
      <c r="AO178" s="3">
        <v>1</v>
      </c>
      <c r="AP178" s="3">
        <v>1</v>
      </c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 x14ac:dyDescent="0.3">
      <c r="A179" s="3" t="s">
        <v>337</v>
      </c>
      <c r="B179" s="62">
        <v>32</v>
      </c>
      <c r="C179" s="64"/>
      <c r="D179" s="3" t="s">
        <v>46</v>
      </c>
      <c r="E179" s="3">
        <v>1</v>
      </c>
      <c r="F179" s="3">
        <v>1</v>
      </c>
      <c r="G179" s="3"/>
      <c r="H179" s="3"/>
      <c r="I179" s="3">
        <v>1</v>
      </c>
      <c r="J179" s="3">
        <v>1</v>
      </c>
      <c r="K179" s="3">
        <v>1</v>
      </c>
      <c r="L179" s="3">
        <v>1</v>
      </c>
      <c r="M179" s="3">
        <v>1</v>
      </c>
      <c r="N179" s="3">
        <v>1</v>
      </c>
      <c r="O179" s="3"/>
      <c r="P179" s="3">
        <v>1</v>
      </c>
      <c r="Q179" s="3">
        <v>1</v>
      </c>
      <c r="R179" s="3">
        <v>1</v>
      </c>
      <c r="S179" s="3">
        <v>1</v>
      </c>
      <c r="T179" s="3">
        <v>1</v>
      </c>
      <c r="U179" s="3">
        <v>1</v>
      </c>
      <c r="V179" s="3">
        <v>1</v>
      </c>
      <c r="W179" s="3">
        <v>1</v>
      </c>
      <c r="X179" s="3">
        <v>1</v>
      </c>
      <c r="Y179" s="3">
        <v>1</v>
      </c>
      <c r="Z179" s="3">
        <v>1</v>
      </c>
      <c r="AA179" s="3">
        <v>1</v>
      </c>
      <c r="AB179" s="3">
        <v>1</v>
      </c>
      <c r="AC179" s="3">
        <v>1</v>
      </c>
      <c r="AD179" s="3">
        <v>1</v>
      </c>
      <c r="AE179" s="3">
        <v>1</v>
      </c>
      <c r="AF179" s="3">
        <v>1</v>
      </c>
      <c r="AG179" s="3">
        <v>1</v>
      </c>
      <c r="AH179" s="3">
        <v>1</v>
      </c>
      <c r="AI179" s="3">
        <v>1</v>
      </c>
      <c r="AJ179" s="3">
        <v>1</v>
      </c>
      <c r="AK179" s="3">
        <v>1</v>
      </c>
      <c r="AL179" s="3"/>
      <c r="AM179" s="3">
        <v>1</v>
      </c>
      <c r="AN179" s="3">
        <v>1</v>
      </c>
      <c r="AO179" s="3">
        <v>1</v>
      </c>
      <c r="AP179" s="3">
        <v>1</v>
      </c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 x14ac:dyDescent="0.3">
      <c r="A180" s="3" t="s">
        <v>337</v>
      </c>
      <c r="B180" s="62">
        <v>32</v>
      </c>
      <c r="C180" s="64"/>
      <c r="D180" s="3" t="s">
        <v>42</v>
      </c>
      <c r="E180" s="3">
        <v>1</v>
      </c>
      <c r="F180" s="3">
        <v>1</v>
      </c>
      <c r="G180" s="3"/>
      <c r="H180" s="3"/>
      <c r="I180" s="3">
        <v>1</v>
      </c>
      <c r="J180" s="3">
        <v>1</v>
      </c>
      <c r="K180" s="3">
        <v>1</v>
      </c>
      <c r="L180" s="3">
        <v>1</v>
      </c>
      <c r="M180" s="3">
        <v>1</v>
      </c>
      <c r="N180" s="3">
        <v>1</v>
      </c>
      <c r="O180" s="3"/>
      <c r="P180" s="3">
        <v>1</v>
      </c>
      <c r="Q180" s="3">
        <v>1</v>
      </c>
      <c r="R180" s="3">
        <v>1</v>
      </c>
      <c r="S180" s="3">
        <v>1</v>
      </c>
      <c r="T180" s="3">
        <v>1</v>
      </c>
      <c r="U180" s="3">
        <v>1</v>
      </c>
      <c r="V180" s="3">
        <v>1</v>
      </c>
      <c r="W180" s="3">
        <v>1</v>
      </c>
      <c r="X180" s="3">
        <v>1</v>
      </c>
      <c r="Y180" s="3">
        <v>1</v>
      </c>
      <c r="Z180" s="3"/>
      <c r="AA180" s="3">
        <v>1</v>
      </c>
      <c r="AB180" s="3">
        <v>1</v>
      </c>
      <c r="AC180" s="3">
        <v>1</v>
      </c>
      <c r="AD180" s="3">
        <v>1</v>
      </c>
      <c r="AE180" s="3">
        <v>1</v>
      </c>
      <c r="AF180" s="3">
        <v>1</v>
      </c>
      <c r="AG180" s="3"/>
      <c r="AH180" s="3">
        <v>1</v>
      </c>
      <c r="AI180" s="3">
        <v>1</v>
      </c>
      <c r="AJ180" s="3">
        <v>1</v>
      </c>
      <c r="AK180" s="3">
        <v>1</v>
      </c>
      <c r="AL180" s="3"/>
      <c r="AM180" s="3">
        <v>1</v>
      </c>
      <c r="AN180" s="3"/>
      <c r="AO180" s="3"/>
      <c r="AP180" s="3">
        <v>1</v>
      </c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 x14ac:dyDescent="0.3">
      <c r="A181" s="3" t="s">
        <v>337</v>
      </c>
      <c r="B181" s="62">
        <v>32</v>
      </c>
      <c r="C181" s="64"/>
      <c r="D181" s="3" t="s">
        <v>43</v>
      </c>
      <c r="E181" s="3">
        <v>1</v>
      </c>
      <c r="F181" s="3">
        <v>1</v>
      </c>
      <c r="G181" s="3"/>
      <c r="H181" s="3"/>
      <c r="I181" s="3">
        <v>1</v>
      </c>
      <c r="J181" s="3">
        <v>1</v>
      </c>
      <c r="K181" s="3">
        <v>1</v>
      </c>
      <c r="L181" s="3">
        <v>1</v>
      </c>
      <c r="M181" s="3">
        <v>1</v>
      </c>
      <c r="N181" s="3">
        <v>1</v>
      </c>
      <c r="O181" s="3"/>
      <c r="P181" s="3"/>
      <c r="Q181" s="3">
        <v>1</v>
      </c>
      <c r="R181" s="3">
        <v>1</v>
      </c>
      <c r="S181" s="3">
        <v>1</v>
      </c>
      <c r="T181" s="3">
        <v>1</v>
      </c>
      <c r="U181" s="3">
        <v>1</v>
      </c>
      <c r="V181" s="3">
        <v>1</v>
      </c>
      <c r="W181" s="3">
        <v>1</v>
      </c>
      <c r="X181" s="3">
        <v>1</v>
      </c>
      <c r="Y181" s="3">
        <v>1</v>
      </c>
      <c r="Z181" s="3">
        <v>1</v>
      </c>
      <c r="AA181" s="3">
        <v>1</v>
      </c>
      <c r="AB181" s="3">
        <v>1</v>
      </c>
      <c r="AC181" s="3">
        <v>1</v>
      </c>
      <c r="AD181" s="3">
        <v>1</v>
      </c>
      <c r="AE181" s="3">
        <v>1</v>
      </c>
      <c r="AF181" s="3">
        <v>1</v>
      </c>
      <c r="AG181" s="3">
        <v>1</v>
      </c>
      <c r="AH181" s="3">
        <v>1</v>
      </c>
      <c r="AI181" s="3">
        <v>1</v>
      </c>
      <c r="AJ181" s="3">
        <v>1</v>
      </c>
      <c r="AK181" s="3">
        <v>1</v>
      </c>
      <c r="AL181" s="3"/>
      <c r="AM181" s="3">
        <v>1</v>
      </c>
      <c r="AN181" s="3">
        <v>1</v>
      </c>
      <c r="AO181" s="3">
        <v>1</v>
      </c>
      <c r="AP181" s="3">
        <v>1</v>
      </c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 x14ac:dyDescent="0.3">
      <c r="A182" s="3" t="s">
        <v>337</v>
      </c>
      <c r="B182" s="62">
        <v>32</v>
      </c>
      <c r="C182" s="64"/>
      <c r="D182" s="3" t="s">
        <v>144</v>
      </c>
      <c r="E182" s="3"/>
      <c r="F182" s="3">
        <v>1</v>
      </c>
      <c r="G182" s="3"/>
      <c r="H182" s="3"/>
      <c r="I182" s="3">
        <v>1</v>
      </c>
      <c r="J182" s="3">
        <v>1</v>
      </c>
      <c r="K182" s="3">
        <v>1</v>
      </c>
      <c r="L182" s="3">
        <v>1</v>
      </c>
      <c r="M182" s="3">
        <v>1</v>
      </c>
      <c r="N182" s="3">
        <v>1</v>
      </c>
      <c r="O182" s="3"/>
      <c r="P182" s="3">
        <v>1</v>
      </c>
      <c r="Q182" s="3">
        <v>1</v>
      </c>
      <c r="R182" s="3">
        <v>1</v>
      </c>
      <c r="S182" s="3">
        <v>1</v>
      </c>
      <c r="T182" s="3">
        <v>1</v>
      </c>
      <c r="U182" s="3">
        <v>1</v>
      </c>
      <c r="V182" s="3">
        <v>1</v>
      </c>
      <c r="W182" s="3">
        <v>1</v>
      </c>
      <c r="X182" s="3">
        <v>1</v>
      </c>
      <c r="Y182" s="3">
        <v>1</v>
      </c>
      <c r="Z182" s="3">
        <v>1</v>
      </c>
      <c r="AA182" s="3"/>
      <c r="AB182" s="3">
        <v>1</v>
      </c>
      <c r="AC182" s="3">
        <v>1</v>
      </c>
      <c r="AD182" s="3">
        <v>1</v>
      </c>
      <c r="AE182" s="3">
        <v>1</v>
      </c>
      <c r="AF182" s="3">
        <v>1</v>
      </c>
      <c r="AG182" s="3">
        <v>1</v>
      </c>
      <c r="AH182" s="3">
        <v>1</v>
      </c>
      <c r="AI182" s="3">
        <v>1</v>
      </c>
      <c r="AJ182" s="3">
        <v>1</v>
      </c>
      <c r="AK182" s="3">
        <v>1</v>
      </c>
      <c r="AL182" s="3"/>
      <c r="AM182" s="3"/>
      <c r="AN182" s="3">
        <v>1</v>
      </c>
      <c r="AO182" s="3">
        <v>1</v>
      </c>
      <c r="AP182" s="3">
        <v>1</v>
      </c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 x14ac:dyDescent="0.3">
      <c r="A183" s="3" t="s">
        <v>337</v>
      </c>
      <c r="B183" s="62">
        <v>32</v>
      </c>
      <c r="C183" s="64"/>
      <c r="D183" s="3" t="s">
        <v>320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 x14ac:dyDescent="0.3">
      <c r="A184" s="3" t="s">
        <v>337</v>
      </c>
      <c r="B184" s="62">
        <v>32</v>
      </c>
      <c r="C184" s="64"/>
      <c r="D184" s="3" t="s">
        <v>90</v>
      </c>
      <c r="E184" s="3">
        <v>1</v>
      </c>
      <c r="F184" s="3">
        <v>1</v>
      </c>
      <c r="G184" s="3"/>
      <c r="H184" s="3"/>
      <c r="I184" s="3">
        <v>1</v>
      </c>
      <c r="J184" s="3">
        <v>1</v>
      </c>
      <c r="K184" s="3">
        <v>1</v>
      </c>
      <c r="L184" s="3">
        <v>1</v>
      </c>
      <c r="M184" s="3">
        <v>1</v>
      </c>
      <c r="N184" s="3">
        <v>1</v>
      </c>
      <c r="O184" s="3"/>
      <c r="P184" s="3">
        <v>1</v>
      </c>
      <c r="Q184" s="3">
        <v>1</v>
      </c>
      <c r="R184" s="3">
        <v>1</v>
      </c>
      <c r="S184" s="3">
        <v>1</v>
      </c>
      <c r="T184" s="3">
        <v>1</v>
      </c>
      <c r="U184" s="3">
        <v>1</v>
      </c>
      <c r="V184" s="3">
        <v>1</v>
      </c>
      <c r="W184" s="3">
        <v>1</v>
      </c>
      <c r="X184" s="3">
        <v>1</v>
      </c>
      <c r="Y184" s="3">
        <v>1</v>
      </c>
      <c r="Z184" s="3">
        <v>1</v>
      </c>
      <c r="AA184" s="3"/>
      <c r="AB184" s="3">
        <v>1</v>
      </c>
      <c r="AC184" s="3">
        <v>1</v>
      </c>
      <c r="AD184" s="3">
        <v>1</v>
      </c>
      <c r="AE184" s="3">
        <v>1</v>
      </c>
      <c r="AF184" s="3">
        <v>1</v>
      </c>
      <c r="AG184" s="3">
        <v>1</v>
      </c>
      <c r="AH184" s="3">
        <v>1</v>
      </c>
      <c r="AI184" s="3">
        <v>1</v>
      </c>
      <c r="AJ184" s="3">
        <v>1</v>
      </c>
      <c r="AK184" s="3">
        <v>1</v>
      </c>
      <c r="AL184" s="3"/>
      <c r="AM184" s="3">
        <v>1</v>
      </c>
      <c r="AN184" s="3">
        <v>1</v>
      </c>
      <c r="AO184" s="3">
        <v>1</v>
      </c>
      <c r="AP184" s="3">
        <v>1</v>
      </c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 x14ac:dyDescent="0.3">
      <c r="A185" s="3" t="s">
        <v>337</v>
      </c>
      <c r="B185" s="62">
        <v>32</v>
      </c>
      <c r="C185" s="64"/>
      <c r="D185" s="3" t="s">
        <v>73</v>
      </c>
      <c r="E185" s="3">
        <v>1</v>
      </c>
      <c r="F185" s="3">
        <v>1</v>
      </c>
      <c r="G185" s="3"/>
      <c r="H185" s="3"/>
      <c r="I185" s="3"/>
      <c r="J185" s="3">
        <v>1</v>
      </c>
      <c r="K185" s="3">
        <v>1</v>
      </c>
      <c r="L185" s="3">
        <v>1</v>
      </c>
      <c r="M185" s="3"/>
      <c r="N185" s="3">
        <v>1</v>
      </c>
      <c r="O185" s="3"/>
      <c r="P185" s="3">
        <v>1</v>
      </c>
      <c r="Q185" s="3"/>
      <c r="R185" s="3">
        <v>1</v>
      </c>
      <c r="S185" s="3">
        <v>1</v>
      </c>
      <c r="T185" s="3">
        <v>1</v>
      </c>
      <c r="U185" s="3">
        <v>1</v>
      </c>
      <c r="V185" s="3"/>
      <c r="W185" s="3"/>
      <c r="X185" s="3">
        <v>1</v>
      </c>
      <c r="Y185" s="3">
        <v>1</v>
      </c>
      <c r="Z185" s="3"/>
      <c r="AA185" s="3">
        <v>1</v>
      </c>
      <c r="AB185" s="3">
        <v>1</v>
      </c>
      <c r="AC185" s="3">
        <v>1</v>
      </c>
      <c r="AD185" s="3"/>
      <c r="AE185" s="3">
        <v>1</v>
      </c>
      <c r="AF185" s="3">
        <v>1</v>
      </c>
      <c r="AG185" s="3">
        <v>1</v>
      </c>
      <c r="AH185" s="3">
        <v>1</v>
      </c>
      <c r="AI185" s="3">
        <v>1</v>
      </c>
      <c r="AJ185" s="3">
        <v>1</v>
      </c>
      <c r="AK185" s="3">
        <v>1</v>
      </c>
      <c r="AL185" s="3"/>
      <c r="AM185" s="3">
        <v>1</v>
      </c>
      <c r="AN185" s="3">
        <v>1</v>
      </c>
      <c r="AO185" s="3">
        <v>1</v>
      </c>
      <c r="AP185" s="3">
        <v>1</v>
      </c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 x14ac:dyDescent="0.3">
      <c r="A186" s="3" t="s">
        <v>337</v>
      </c>
      <c r="B186" s="62">
        <v>32</v>
      </c>
      <c r="C186" s="64"/>
      <c r="D186" s="3" t="s">
        <v>123</v>
      </c>
      <c r="E186" s="3">
        <v>1</v>
      </c>
      <c r="F186" s="3">
        <v>1</v>
      </c>
      <c r="G186" s="3"/>
      <c r="H186" s="3"/>
      <c r="I186" s="3">
        <v>1</v>
      </c>
      <c r="J186" s="3">
        <v>1</v>
      </c>
      <c r="K186" s="3">
        <v>1</v>
      </c>
      <c r="L186" s="3">
        <v>1</v>
      </c>
      <c r="M186" s="3">
        <v>1</v>
      </c>
      <c r="N186" s="3">
        <v>1</v>
      </c>
      <c r="O186" s="3"/>
      <c r="P186" s="3">
        <v>1</v>
      </c>
      <c r="Q186" s="3">
        <v>1</v>
      </c>
      <c r="R186" s="3">
        <v>1</v>
      </c>
      <c r="S186" s="3">
        <v>1</v>
      </c>
      <c r="T186" s="3">
        <v>1</v>
      </c>
      <c r="U186" s="3">
        <v>1</v>
      </c>
      <c r="V186" s="3">
        <v>1</v>
      </c>
      <c r="W186" s="3">
        <v>1</v>
      </c>
      <c r="X186" s="3">
        <v>1</v>
      </c>
      <c r="Y186" s="3">
        <v>1</v>
      </c>
      <c r="Z186" s="3">
        <v>1</v>
      </c>
      <c r="AA186" s="3">
        <v>1</v>
      </c>
      <c r="AB186" s="3">
        <v>1</v>
      </c>
      <c r="AC186" s="3">
        <v>1</v>
      </c>
      <c r="AD186" s="3">
        <v>1</v>
      </c>
      <c r="AE186" s="3">
        <v>1</v>
      </c>
      <c r="AF186" s="3">
        <v>1</v>
      </c>
      <c r="AG186" s="3">
        <v>1</v>
      </c>
      <c r="AH186" s="3">
        <v>1</v>
      </c>
      <c r="AI186" s="3">
        <v>1</v>
      </c>
      <c r="AJ186" s="3">
        <v>1</v>
      </c>
      <c r="AK186" s="3">
        <v>1</v>
      </c>
      <c r="AL186" s="3"/>
      <c r="AM186" s="3">
        <v>1</v>
      </c>
      <c r="AN186" s="3">
        <v>1</v>
      </c>
      <c r="AO186" s="3">
        <v>1</v>
      </c>
      <c r="AP186" s="3">
        <v>1</v>
      </c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 x14ac:dyDescent="0.3">
      <c r="A187" s="3" t="s">
        <v>337</v>
      </c>
      <c r="B187" s="62">
        <v>32</v>
      </c>
      <c r="C187" s="64"/>
      <c r="D187" s="3" t="s">
        <v>238</v>
      </c>
      <c r="E187" s="3">
        <v>1</v>
      </c>
      <c r="F187" s="3">
        <v>1</v>
      </c>
      <c r="G187" s="3"/>
      <c r="H187" s="3"/>
      <c r="I187" s="3">
        <v>1</v>
      </c>
      <c r="J187" s="3"/>
      <c r="K187" s="3">
        <v>1</v>
      </c>
      <c r="L187" s="3">
        <v>1</v>
      </c>
      <c r="M187" s="3">
        <v>1</v>
      </c>
      <c r="N187" s="3">
        <v>1</v>
      </c>
      <c r="O187" s="3"/>
      <c r="P187" s="3"/>
      <c r="Q187" s="3">
        <v>1</v>
      </c>
      <c r="R187" s="3">
        <v>1</v>
      </c>
      <c r="S187" s="3">
        <v>1</v>
      </c>
      <c r="T187" s="3">
        <v>1</v>
      </c>
      <c r="U187" s="3">
        <v>1</v>
      </c>
      <c r="V187" s="3">
        <v>1</v>
      </c>
      <c r="W187" s="3">
        <v>1</v>
      </c>
      <c r="X187" s="3">
        <v>1</v>
      </c>
      <c r="Y187" s="3">
        <v>1</v>
      </c>
      <c r="Z187" s="3">
        <v>1</v>
      </c>
      <c r="AA187" s="3">
        <v>1</v>
      </c>
      <c r="AB187" s="3">
        <v>1</v>
      </c>
      <c r="AC187" s="3">
        <v>1</v>
      </c>
      <c r="AD187" s="3">
        <v>1</v>
      </c>
      <c r="AE187" s="3">
        <v>1</v>
      </c>
      <c r="AF187" s="3">
        <v>1</v>
      </c>
      <c r="AG187" s="3">
        <v>1</v>
      </c>
      <c r="AH187" s="3">
        <v>1</v>
      </c>
      <c r="AI187" s="3">
        <v>1</v>
      </c>
      <c r="AJ187" s="3">
        <v>1</v>
      </c>
      <c r="AK187" s="3">
        <v>1</v>
      </c>
      <c r="AL187" s="3"/>
      <c r="AM187" s="3">
        <v>1</v>
      </c>
      <c r="AN187" s="3">
        <v>1</v>
      </c>
      <c r="AO187" s="3">
        <v>1</v>
      </c>
      <c r="AP187" s="3">
        <v>1</v>
      </c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 x14ac:dyDescent="0.3">
      <c r="A188" s="3" t="s">
        <v>337</v>
      </c>
      <c r="B188" s="62">
        <v>32</v>
      </c>
      <c r="C188" s="64"/>
      <c r="D188" s="3" t="s">
        <v>321</v>
      </c>
      <c r="E188" s="3"/>
      <c r="F188" s="3"/>
      <c r="G188" s="3"/>
      <c r="H188" s="3"/>
      <c r="I188" s="3">
        <v>1</v>
      </c>
      <c r="J188" s="3">
        <v>1</v>
      </c>
      <c r="K188" s="3">
        <v>1</v>
      </c>
      <c r="L188" s="3"/>
      <c r="M188" s="3">
        <v>1</v>
      </c>
      <c r="N188" s="3">
        <v>1</v>
      </c>
      <c r="O188" s="3"/>
      <c r="P188" s="3">
        <v>1</v>
      </c>
      <c r="Q188" s="3">
        <v>1</v>
      </c>
      <c r="R188" s="3">
        <v>1</v>
      </c>
      <c r="S188" s="3">
        <v>1</v>
      </c>
      <c r="T188" s="3">
        <v>1</v>
      </c>
      <c r="U188" s="3">
        <v>1</v>
      </c>
      <c r="V188" s="3">
        <v>1</v>
      </c>
      <c r="W188" s="3">
        <v>1</v>
      </c>
      <c r="X188" s="3">
        <v>1</v>
      </c>
      <c r="Y188" s="3">
        <v>1</v>
      </c>
      <c r="Z188" s="3">
        <v>1</v>
      </c>
      <c r="AA188" s="3">
        <v>1</v>
      </c>
      <c r="AB188" s="3"/>
      <c r="AC188" s="3">
        <v>1</v>
      </c>
      <c r="AD188" s="3">
        <v>1</v>
      </c>
      <c r="AE188" s="3">
        <v>1</v>
      </c>
      <c r="AF188" s="3">
        <v>1</v>
      </c>
      <c r="AG188" s="3">
        <v>1</v>
      </c>
      <c r="AH188" s="3">
        <v>1</v>
      </c>
      <c r="AI188" s="3">
        <v>1</v>
      </c>
      <c r="AJ188" s="3">
        <v>1</v>
      </c>
      <c r="AK188" s="3">
        <v>1</v>
      </c>
      <c r="AL188" s="3"/>
      <c r="AM188" s="3">
        <v>1</v>
      </c>
      <c r="AN188" s="3">
        <v>1</v>
      </c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 x14ac:dyDescent="0.3">
      <c r="A189" s="3" t="s">
        <v>337</v>
      </c>
      <c r="B189" s="62">
        <v>32</v>
      </c>
      <c r="C189" s="64"/>
      <c r="D189" s="3" t="s">
        <v>36</v>
      </c>
      <c r="E189" s="3">
        <v>1</v>
      </c>
      <c r="F189" s="3">
        <v>1</v>
      </c>
      <c r="G189" s="3"/>
      <c r="H189" s="3"/>
      <c r="I189" s="3">
        <v>1</v>
      </c>
      <c r="J189" s="3">
        <v>1</v>
      </c>
      <c r="K189" s="3">
        <v>1</v>
      </c>
      <c r="L189" s="3">
        <v>1</v>
      </c>
      <c r="M189" s="3">
        <v>1</v>
      </c>
      <c r="N189" s="3">
        <v>1</v>
      </c>
      <c r="O189" s="3"/>
      <c r="P189" s="3"/>
      <c r="Q189" s="3">
        <v>1</v>
      </c>
      <c r="R189" s="3">
        <v>1</v>
      </c>
      <c r="S189" s="3">
        <v>1</v>
      </c>
      <c r="T189" s="3">
        <v>1</v>
      </c>
      <c r="U189" s="3">
        <v>1</v>
      </c>
      <c r="V189" s="3">
        <v>1</v>
      </c>
      <c r="W189" s="3">
        <v>1</v>
      </c>
      <c r="X189" s="3">
        <v>1</v>
      </c>
      <c r="Y189" s="3">
        <v>1</v>
      </c>
      <c r="Z189" s="3"/>
      <c r="AA189" s="3">
        <v>1</v>
      </c>
      <c r="AB189" s="3">
        <v>1</v>
      </c>
      <c r="AC189" s="3">
        <v>1</v>
      </c>
      <c r="AD189" s="3"/>
      <c r="AE189" s="3"/>
      <c r="AF189" s="3"/>
      <c r="AG189" s="3">
        <v>1</v>
      </c>
      <c r="AH189" s="3">
        <v>1</v>
      </c>
      <c r="AI189" s="3">
        <v>1</v>
      </c>
      <c r="AJ189" s="3">
        <v>1</v>
      </c>
      <c r="AK189" s="3">
        <v>1</v>
      </c>
      <c r="AL189" s="3"/>
      <c r="AM189" s="3">
        <v>1</v>
      </c>
      <c r="AN189" s="3">
        <v>1</v>
      </c>
      <c r="AO189" s="3">
        <v>1</v>
      </c>
      <c r="AP189" s="3">
        <v>1</v>
      </c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 x14ac:dyDescent="0.3">
      <c r="A190" s="3" t="s">
        <v>337</v>
      </c>
      <c r="B190" s="62">
        <v>32</v>
      </c>
      <c r="C190" s="64"/>
      <c r="D190" s="3" t="s">
        <v>121</v>
      </c>
      <c r="E190" s="3">
        <v>1</v>
      </c>
      <c r="F190" s="3">
        <v>1</v>
      </c>
      <c r="G190" s="3"/>
      <c r="H190" s="3"/>
      <c r="I190" s="3"/>
      <c r="J190" s="3">
        <v>1</v>
      </c>
      <c r="K190" s="3">
        <v>1</v>
      </c>
      <c r="L190" s="3">
        <v>1</v>
      </c>
      <c r="M190" s="3"/>
      <c r="N190" s="3">
        <v>1</v>
      </c>
      <c r="O190" s="3"/>
      <c r="P190" s="3">
        <v>1</v>
      </c>
      <c r="Q190" s="3"/>
      <c r="R190" s="3">
        <v>1</v>
      </c>
      <c r="S190" s="3">
        <v>1</v>
      </c>
      <c r="T190" s="3">
        <v>1</v>
      </c>
      <c r="U190" s="3">
        <v>1</v>
      </c>
      <c r="V190" s="3"/>
      <c r="W190" s="3"/>
      <c r="X190" s="3">
        <v>1</v>
      </c>
      <c r="Y190" s="3">
        <v>1</v>
      </c>
      <c r="Z190" s="3">
        <v>1</v>
      </c>
      <c r="AA190" s="3">
        <v>1</v>
      </c>
      <c r="AB190" s="3">
        <v>1</v>
      </c>
      <c r="AC190" s="3">
        <v>1</v>
      </c>
      <c r="AD190" s="3"/>
      <c r="AE190" s="3">
        <v>1</v>
      </c>
      <c r="AF190" s="3">
        <v>1</v>
      </c>
      <c r="AG190" s="3">
        <v>1</v>
      </c>
      <c r="AH190" s="3">
        <v>1</v>
      </c>
      <c r="AI190" s="3">
        <v>1</v>
      </c>
      <c r="AJ190" s="3">
        <v>1</v>
      </c>
      <c r="AK190" s="3">
        <v>1</v>
      </c>
      <c r="AL190" s="3"/>
      <c r="AM190" s="3">
        <v>1</v>
      </c>
      <c r="AN190" s="3">
        <v>1</v>
      </c>
      <c r="AO190" s="3">
        <v>1</v>
      </c>
      <c r="AP190" s="3">
        <v>1</v>
      </c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 x14ac:dyDescent="0.3">
      <c r="A191" s="3" t="s">
        <v>337</v>
      </c>
      <c r="B191" s="62">
        <v>32</v>
      </c>
      <c r="C191" s="64"/>
      <c r="D191" s="3" t="s">
        <v>261</v>
      </c>
      <c r="E191" s="3">
        <v>1</v>
      </c>
      <c r="F191" s="3">
        <v>1</v>
      </c>
      <c r="G191" s="3"/>
      <c r="H191" s="3"/>
      <c r="I191" s="3">
        <v>1</v>
      </c>
      <c r="J191" s="3"/>
      <c r="K191" s="3">
        <v>1</v>
      </c>
      <c r="L191" s="3">
        <v>1</v>
      </c>
      <c r="M191" s="3"/>
      <c r="N191" s="3">
        <v>1</v>
      </c>
      <c r="O191" s="3"/>
      <c r="P191" s="3">
        <v>1</v>
      </c>
      <c r="Q191" s="3"/>
      <c r="R191" s="3">
        <v>1</v>
      </c>
      <c r="S191" s="3">
        <v>1</v>
      </c>
      <c r="T191" s="3">
        <v>1</v>
      </c>
      <c r="U191" s="3"/>
      <c r="V191" s="3">
        <v>1</v>
      </c>
      <c r="W191" s="3">
        <v>1</v>
      </c>
      <c r="X191" s="3"/>
      <c r="Y191" s="3"/>
      <c r="Z191" s="3"/>
      <c r="AA191" s="3">
        <v>1</v>
      </c>
      <c r="AB191" s="3">
        <v>1</v>
      </c>
      <c r="AC191" s="3">
        <v>1</v>
      </c>
      <c r="AD191" s="3">
        <v>1</v>
      </c>
      <c r="AE191" s="3">
        <v>1</v>
      </c>
      <c r="AF191" s="3">
        <v>1</v>
      </c>
      <c r="AG191" s="3">
        <v>1</v>
      </c>
      <c r="AH191" s="3"/>
      <c r="AI191" s="3"/>
      <c r="AJ191" s="3">
        <v>1</v>
      </c>
      <c r="AK191" s="3">
        <v>1</v>
      </c>
      <c r="AL191" s="3"/>
      <c r="AM191" s="3">
        <v>1</v>
      </c>
      <c r="AN191" s="3">
        <v>1</v>
      </c>
      <c r="AO191" s="3">
        <v>1</v>
      </c>
      <c r="AP191" s="3">
        <v>1</v>
      </c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 x14ac:dyDescent="0.3">
      <c r="A192" s="3" t="s">
        <v>337</v>
      </c>
      <c r="B192" s="62">
        <v>32</v>
      </c>
      <c r="C192" s="64"/>
      <c r="D192" s="3" t="s">
        <v>204</v>
      </c>
      <c r="E192" s="3">
        <v>1</v>
      </c>
      <c r="F192" s="3">
        <v>1</v>
      </c>
      <c r="G192" s="3"/>
      <c r="H192" s="3"/>
      <c r="I192" s="3">
        <v>1</v>
      </c>
      <c r="J192" s="3">
        <v>1</v>
      </c>
      <c r="K192" s="3">
        <v>1</v>
      </c>
      <c r="L192" s="3">
        <v>1</v>
      </c>
      <c r="M192" s="3">
        <v>1</v>
      </c>
      <c r="N192" s="3">
        <v>1</v>
      </c>
      <c r="O192" s="3"/>
      <c r="P192" s="3">
        <v>1</v>
      </c>
      <c r="Q192" s="3">
        <v>1</v>
      </c>
      <c r="R192" s="3">
        <v>1</v>
      </c>
      <c r="S192" s="3">
        <v>1</v>
      </c>
      <c r="T192" s="3">
        <v>1</v>
      </c>
      <c r="U192" s="3">
        <v>1</v>
      </c>
      <c r="V192" s="3">
        <v>1</v>
      </c>
      <c r="W192" s="3">
        <v>1</v>
      </c>
      <c r="X192" s="3">
        <v>1</v>
      </c>
      <c r="Y192" s="3">
        <v>1</v>
      </c>
      <c r="Z192" s="3">
        <v>1</v>
      </c>
      <c r="AA192" s="3">
        <v>1</v>
      </c>
      <c r="AB192" s="3">
        <v>1</v>
      </c>
      <c r="AC192" s="3">
        <v>1</v>
      </c>
      <c r="AD192" s="3">
        <v>1</v>
      </c>
      <c r="AE192" s="3">
        <v>1</v>
      </c>
      <c r="AF192" s="3">
        <v>1</v>
      </c>
      <c r="AG192" s="3">
        <v>1</v>
      </c>
      <c r="AH192" s="3">
        <v>1</v>
      </c>
      <c r="AI192" s="3">
        <v>1</v>
      </c>
      <c r="AJ192" s="3">
        <v>1</v>
      </c>
      <c r="AK192" s="3">
        <v>1</v>
      </c>
      <c r="AL192" s="3"/>
      <c r="AM192" s="3">
        <v>1</v>
      </c>
      <c r="AN192" s="3">
        <v>1</v>
      </c>
      <c r="AO192" s="3">
        <v>1</v>
      </c>
      <c r="AP192" s="3">
        <v>1</v>
      </c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 x14ac:dyDescent="0.3">
      <c r="A193" s="3" t="s">
        <v>337</v>
      </c>
      <c r="B193" s="62">
        <v>32</v>
      </c>
      <c r="C193" s="64"/>
      <c r="D193" s="3" t="s">
        <v>189</v>
      </c>
      <c r="E193" s="3"/>
      <c r="F193" s="3">
        <v>1</v>
      </c>
      <c r="G193" s="3"/>
      <c r="H193" s="3"/>
      <c r="I193" s="3">
        <v>1</v>
      </c>
      <c r="J193" s="3">
        <v>1</v>
      </c>
      <c r="K193" s="3">
        <v>1</v>
      </c>
      <c r="L193" s="3">
        <v>1</v>
      </c>
      <c r="M193" s="3">
        <v>1</v>
      </c>
      <c r="N193" s="3">
        <v>1</v>
      </c>
      <c r="O193" s="3"/>
      <c r="P193" s="3">
        <v>1</v>
      </c>
      <c r="Q193" s="3">
        <v>1</v>
      </c>
      <c r="R193" s="3">
        <v>1</v>
      </c>
      <c r="S193" s="3">
        <v>1</v>
      </c>
      <c r="T193" s="3">
        <v>1</v>
      </c>
      <c r="U193" s="3">
        <v>1</v>
      </c>
      <c r="V193" s="3">
        <v>1</v>
      </c>
      <c r="W193" s="3">
        <v>1</v>
      </c>
      <c r="X193" s="3">
        <v>1</v>
      </c>
      <c r="Y193" s="3">
        <v>1</v>
      </c>
      <c r="Z193" s="3">
        <v>1</v>
      </c>
      <c r="AA193" s="3">
        <v>1</v>
      </c>
      <c r="AB193" s="3">
        <v>1</v>
      </c>
      <c r="AC193" s="3">
        <v>1</v>
      </c>
      <c r="AD193" s="3">
        <v>1</v>
      </c>
      <c r="AE193" s="3">
        <v>1</v>
      </c>
      <c r="AF193" s="3">
        <v>1</v>
      </c>
      <c r="AG193" s="3">
        <v>1</v>
      </c>
      <c r="AH193" s="3">
        <v>1</v>
      </c>
      <c r="AI193" s="3">
        <v>1</v>
      </c>
      <c r="AJ193" s="3">
        <v>1</v>
      </c>
      <c r="AK193" s="3">
        <v>1</v>
      </c>
      <c r="AL193" s="3"/>
      <c r="AM193" s="3"/>
      <c r="AN193" s="3"/>
      <c r="AO193" s="3">
        <v>1</v>
      </c>
      <c r="AP193" s="3">
        <v>1</v>
      </c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 x14ac:dyDescent="0.3">
      <c r="A194" s="3" t="s">
        <v>337</v>
      </c>
      <c r="B194" s="62">
        <v>32</v>
      </c>
      <c r="C194" s="64"/>
      <c r="D194" s="3" t="s">
        <v>59</v>
      </c>
      <c r="E194" s="3"/>
      <c r="F194" s="3"/>
      <c r="G194" s="3"/>
      <c r="H194" s="3"/>
      <c r="I194" s="3"/>
      <c r="J194" s="3"/>
      <c r="K194" s="3">
        <v>1</v>
      </c>
      <c r="L194" s="3">
        <v>1</v>
      </c>
      <c r="M194" s="3"/>
      <c r="N194" s="3">
        <v>1</v>
      </c>
      <c r="O194" s="3"/>
      <c r="P194" s="3"/>
      <c r="Q194" s="3"/>
      <c r="R194" s="3">
        <v>1</v>
      </c>
      <c r="S194" s="3"/>
      <c r="T194" s="3">
        <v>1</v>
      </c>
      <c r="U194" s="3">
        <v>1</v>
      </c>
      <c r="V194" s="3">
        <v>1</v>
      </c>
      <c r="W194" s="3"/>
      <c r="X194" s="3">
        <v>1</v>
      </c>
      <c r="Y194" s="3"/>
      <c r="Z194" s="3"/>
      <c r="AA194" s="3">
        <v>1</v>
      </c>
      <c r="AB194" s="3"/>
      <c r="AC194" s="3"/>
      <c r="AD194" s="3">
        <v>1</v>
      </c>
      <c r="AE194" s="3"/>
      <c r="AF194" s="3">
        <v>1</v>
      </c>
      <c r="AG194" s="3">
        <v>1</v>
      </c>
      <c r="AH194" s="3"/>
      <c r="AI194" s="3"/>
      <c r="AJ194" s="3">
        <v>1</v>
      </c>
      <c r="AK194" s="3"/>
      <c r="AL194" s="3"/>
      <c r="AM194" s="3"/>
      <c r="AN194" s="3"/>
      <c r="AO194" s="3">
        <v>1</v>
      </c>
      <c r="AP194" s="3">
        <v>1</v>
      </c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 x14ac:dyDescent="0.3">
      <c r="A195" s="3" t="s">
        <v>337</v>
      </c>
      <c r="B195" s="62">
        <v>32</v>
      </c>
      <c r="C195" s="64"/>
      <c r="D195" s="3" t="s">
        <v>108</v>
      </c>
      <c r="E195" s="3">
        <v>1</v>
      </c>
      <c r="F195" s="3">
        <v>1</v>
      </c>
      <c r="G195" s="3"/>
      <c r="H195" s="3"/>
      <c r="I195" s="3">
        <v>1</v>
      </c>
      <c r="J195" s="3">
        <v>1</v>
      </c>
      <c r="K195" s="3"/>
      <c r="L195" s="3"/>
      <c r="M195" s="3"/>
      <c r="N195" s="3">
        <v>1</v>
      </c>
      <c r="O195" s="3"/>
      <c r="P195" s="3">
        <v>1</v>
      </c>
      <c r="Q195" s="3">
        <v>1</v>
      </c>
      <c r="R195" s="3"/>
      <c r="S195" s="3">
        <v>1</v>
      </c>
      <c r="T195" s="3"/>
      <c r="U195" s="3">
        <v>1</v>
      </c>
      <c r="V195" s="3">
        <v>1</v>
      </c>
      <c r="W195" s="3">
        <v>1</v>
      </c>
      <c r="X195" s="3"/>
      <c r="Y195" s="3">
        <v>1</v>
      </c>
      <c r="Z195" s="3"/>
      <c r="AA195" s="3"/>
      <c r="AB195" s="3">
        <v>1</v>
      </c>
      <c r="AC195" s="3">
        <v>1</v>
      </c>
      <c r="AD195" s="3"/>
      <c r="AE195" s="3">
        <v>1</v>
      </c>
      <c r="AF195" s="3">
        <v>1</v>
      </c>
      <c r="AG195" s="3"/>
      <c r="AH195" s="3"/>
      <c r="AI195" s="3">
        <v>1</v>
      </c>
      <c r="AJ195" s="3"/>
      <c r="AK195" s="3">
        <v>1</v>
      </c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 x14ac:dyDescent="0.3">
      <c r="A196" s="3" t="s">
        <v>337</v>
      </c>
      <c r="B196" s="62">
        <v>32</v>
      </c>
      <c r="C196" s="64"/>
      <c r="D196" s="3" t="s">
        <v>115</v>
      </c>
      <c r="E196" s="3">
        <v>1</v>
      </c>
      <c r="F196" s="3">
        <v>1</v>
      </c>
      <c r="G196" s="3"/>
      <c r="H196" s="3"/>
      <c r="I196" s="3">
        <v>1</v>
      </c>
      <c r="J196" s="3">
        <v>1</v>
      </c>
      <c r="K196" s="3">
        <v>1</v>
      </c>
      <c r="L196" s="3">
        <v>1</v>
      </c>
      <c r="M196" s="3">
        <v>1</v>
      </c>
      <c r="N196" s="3">
        <v>1</v>
      </c>
      <c r="O196" s="3"/>
      <c r="P196" s="3">
        <v>1</v>
      </c>
      <c r="Q196" s="3">
        <v>1</v>
      </c>
      <c r="R196" s="3">
        <v>1</v>
      </c>
      <c r="S196" s="3">
        <v>1</v>
      </c>
      <c r="T196" s="3">
        <v>1</v>
      </c>
      <c r="U196" s="3">
        <v>1</v>
      </c>
      <c r="V196" s="3">
        <v>1</v>
      </c>
      <c r="W196" s="3">
        <v>1</v>
      </c>
      <c r="X196" s="3"/>
      <c r="Y196" s="3">
        <v>1</v>
      </c>
      <c r="Z196" s="3">
        <v>1</v>
      </c>
      <c r="AA196" s="3"/>
      <c r="AB196" s="3">
        <v>1</v>
      </c>
      <c r="AC196" s="3">
        <v>1</v>
      </c>
      <c r="AD196" s="3">
        <v>1</v>
      </c>
      <c r="AE196" s="3">
        <v>1</v>
      </c>
      <c r="AF196" s="3">
        <v>1</v>
      </c>
      <c r="AG196" s="3">
        <v>1</v>
      </c>
      <c r="AH196" s="3">
        <v>1</v>
      </c>
      <c r="AI196" s="3">
        <v>1</v>
      </c>
      <c r="AJ196" s="3">
        <v>1</v>
      </c>
      <c r="AK196" s="3">
        <v>1</v>
      </c>
      <c r="AL196" s="3"/>
      <c r="AM196" s="3">
        <v>1</v>
      </c>
      <c r="AN196" s="3">
        <v>1</v>
      </c>
      <c r="AO196" s="3">
        <v>1</v>
      </c>
      <c r="AP196" s="3">
        <v>1</v>
      </c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 x14ac:dyDescent="0.3">
      <c r="A197" s="3" t="s">
        <v>337</v>
      </c>
      <c r="B197" s="62">
        <v>33</v>
      </c>
      <c r="C197" s="64"/>
      <c r="D197" s="3" t="s">
        <v>120</v>
      </c>
      <c r="E197" s="3">
        <v>1</v>
      </c>
      <c r="F197" s="3">
        <v>1</v>
      </c>
      <c r="G197" s="3"/>
      <c r="H197" s="3"/>
      <c r="I197" s="3">
        <v>1</v>
      </c>
      <c r="J197" s="3">
        <v>1</v>
      </c>
      <c r="K197" s="3">
        <v>1</v>
      </c>
      <c r="L197" s="3">
        <v>1</v>
      </c>
      <c r="M197" s="3">
        <v>1</v>
      </c>
      <c r="N197" s="3">
        <v>1</v>
      </c>
      <c r="O197" s="3"/>
      <c r="P197" s="3"/>
      <c r="Q197" s="3">
        <v>1</v>
      </c>
      <c r="R197" s="3">
        <v>1</v>
      </c>
      <c r="S197" s="3">
        <v>1</v>
      </c>
      <c r="T197" s="3"/>
      <c r="U197" s="3">
        <v>1</v>
      </c>
      <c r="V197" s="3"/>
      <c r="W197" s="3">
        <v>1</v>
      </c>
      <c r="X197" s="3">
        <v>1</v>
      </c>
      <c r="Y197" s="3">
        <v>1</v>
      </c>
      <c r="Z197" s="3"/>
      <c r="AA197" s="3"/>
      <c r="AB197" s="3">
        <v>1</v>
      </c>
      <c r="AC197" s="3">
        <v>1</v>
      </c>
      <c r="AD197" s="3">
        <v>1</v>
      </c>
      <c r="AE197" s="3">
        <v>1</v>
      </c>
      <c r="AF197" s="3">
        <v>1</v>
      </c>
      <c r="AG197" s="3">
        <v>1</v>
      </c>
      <c r="AH197" s="3">
        <v>1</v>
      </c>
      <c r="AI197" s="3"/>
      <c r="AJ197" s="3">
        <v>1</v>
      </c>
      <c r="AK197" s="3"/>
      <c r="AL197" s="3"/>
      <c r="AM197" s="3">
        <v>1</v>
      </c>
      <c r="AN197" s="3">
        <v>1</v>
      </c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 x14ac:dyDescent="0.3">
      <c r="A198" s="3" t="s">
        <v>337</v>
      </c>
      <c r="B198" s="62">
        <v>33</v>
      </c>
      <c r="C198" s="64"/>
      <c r="D198" s="3" t="s">
        <v>58</v>
      </c>
      <c r="E198" s="3"/>
      <c r="F198" s="3"/>
      <c r="G198" s="3"/>
      <c r="H198" s="3"/>
      <c r="I198" s="3"/>
      <c r="J198" s="3"/>
      <c r="K198" s="3"/>
      <c r="L198" s="3">
        <v>1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 x14ac:dyDescent="0.3">
      <c r="A199" s="3" t="s">
        <v>337</v>
      </c>
      <c r="B199" s="62">
        <v>33</v>
      </c>
      <c r="C199" s="64"/>
      <c r="D199" s="3" t="s">
        <v>62</v>
      </c>
      <c r="E199" s="3">
        <v>1</v>
      </c>
      <c r="F199" s="3">
        <v>1</v>
      </c>
      <c r="G199" s="3"/>
      <c r="H199" s="3"/>
      <c r="I199" s="3">
        <v>1</v>
      </c>
      <c r="J199" s="3">
        <v>1</v>
      </c>
      <c r="K199" s="3">
        <v>1</v>
      </c>
      <c r="L199" s="3">
        <v>1</v>
      </c>
      <c r="M199" s="3">
        <v>1</v>
      </c>
      <c r="N199" s="3">
        <v>1</v>
      </c>
      <c r="O199" s="3"/>
      <c r="P199" s="3">
        <v>1</v>
      </c>
      <c r="Q199" s="3">
        <v>1</v>
      </c>
      <c r="R199" s="3"/>
      <c r="S199" s="3">
        <v>1</v>
      </c>
      <c r="T199" s="3">
        <v>1</v>
      </c>
      <c r="U199" s="3">
        <v>1</v>
      </c>
      <c r="V199" s="3">
        <v>1</v>
      </c>
      <c r="W199" s="3">
        <v>1</v>
      </c>
      <c r="X199" s="3">
        <v>1</v>
      </c>
      <c r="Y199" s="3">
        <v>1</v>
      </c>
      <c r="Z199" s="3">
        <v>1</v>
      </c>
      <c r="AA199" s="3"/>
      <c r="AB199" s="3">
        <v>1</v>
      </c>
      <c r="AC199" s="3">
        <v>1</v>
      </c>
      <c r="AD199" s="3">
        <v>1</v>
      </c>
      <c r="AE199" s="3">
        <v>1</v>
      </c>
      <c r="AF199" s="3">
        <v>1</v>
      </c>
      <c r="AG199" s="3">
        <v>1</v>
      </c>
      <c r="AH199" s="3">
        <v>1</v>
      </c>
      <c r="AI199" s="3">
        <v>1</v>
      </c>
      <c r="AJ199" s="3">
        <v>1</v>
      </c>
      <c r="AK199" s="3">
        <v>1</v>
      </c>
      <c r="AL199" s="3"/>
      <c r="AM199" s="3">
        <v>1</v>
      </c>
      <c r="AN199" s="3">
        <v>1</v>
      </c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 x14ac:dyDescent="0.3">
      <c r="A200" s="3" t="s">
        <v>337</v>
      </c>
      <c r="B200" s="62">
        <v>33</v>
      </c>
      <c r="C200" s="64"/>
      <c r="D200" s="3" t="s">
        <v>134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 x14ac:dyDescent="0.3">
      <c r="A201" s="3" t="s">
        <v>337</v>
      </c>
      <c r="B201" s="62">
        <v>33</v>
      </c>
      <c r="C201" s="64"/>
      <c r="D201" s="3" t="s">
        <v>322</v>
      </c>
      <c r="E201" s="3">
        <v>1</v>
      </c>
      <c r="F201" s="3">
        <v>1</v>
      </c>
      <c r="G201" s="3"/>
      <c r="H201" s="3"/>
      <c r="I201" s="3">
        <v>1</v>
      </c>
      <c r="J201" s="3">
        <v>1</v>
      </c>
      <c r="K201" s="3">
        <v>1</v>
      </c>
      <c r="L201" s="3">
        <v>1</v>
      </c>
      <c r="M201" s="3">
        <v>1</v>
      </c>
      <c r="N201" s="3">
        <v>1</v>
      </c>
      <c r="O201" s="3"/>
      <c r="P201" s="3"/>
      <c r="Q201" s="3">
        <v>1</v>
      </c>
      <c r="R201" s="3">
        <v>1</v>
      </c>
      <c r="S201" s="3">
        <v>1</v>
      </c>
      <c r="T201" s="3"/>
      <c r="U201" s="3">
        <v>1</v>
      </c>
      <c r="V201" s="3"/>
      <c r="W201" s="3">
        <v>1</v>
      </c>
      <c r="X201" s="3">
        <v>1</v>
      </c>
      <c r="Y201" s="3">
        <v>1</v>
      </c>
      <c r="Z201" s="3"/>
      <c r="AA201" s="3"/>
      <c r="AB201" s="3">
        <v>1</v>
      </c>
      <c r="AC201" s="3">
        <v>1</v>
      </c>
      <c r="AD201" s="3"/>
      <c r="AE201" s="3">
        <v>1</v>
      </c>
      <c r="AF201" s="3">
        <v>1</v>
      </c>
      <c r="AG201" s="3"/>
      <c r="AH201" s="3">
        <v>1</v>
      </c>
      <c r="AI201" s="3"/>
      <c r="AJ201" s="3">
        <v>1</v>
      </c>
      <c r="AK201" s="3"/>
      <c r="AL201" s="3"/>
      <c r="AM201" s="3">
        <v>1</v>
      </c>
      <c r="AN201" s="3">
        <v>1</v>
      </c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 x14ac:dyDescent="0.3">
      <c r="A202" s="3" t="s">
        <v>337</v>
      </c>
      <c r="B202" s="62">
        <v>33</v>
      </c>
      <c r="C202" s="64"/>
      <c r="D202" s="3" t="s">
        <v>323</v>
      </c>
      <c r="E202" s="3">
        <v>1</v>
      </c>
      <c r="F202" s="3">
        <v>1</v>
      </c>
      <c r="G202" s="3"/>
      <c r="H202" s="3"/>
      <c r="I202" s="3">
        <v>1</v>
      </c>
      <c r="J202" s="3">
        <v>1</v>
      </c>
      <c r="K202" s="3">
        <v>1</v>
      </c>
      <c r="L202" s="3">
        <v>1</v>
      </c>
      <c r="M202" s="3">
        <v>1</v>
      </c>
      <c r="N202" s="3">
        <v>1</v>
      </c>
      <c r="O202" s="3"/>
      <c r="P202" s="3">
        <v>1</v>
      </c>
      <c r="Q202" s="3"/>
      <c r="R202" s="3">
        <v>1</v>
      </c>
      <c r="S202" s="3">
        <v>1</v>
      </c>
      <c r="T202" s="3">
        <v>1</v>
      </c>
      <c r="U202" s="3"/>
      <c r="V202" s="3"/>
      <c r="W202" s="3">
        <v>1</v>
      </c>
      <c r="X202" s="3">
        <v>1</v>
      </c>
      <c r="Y202" s="3">
        <v>1</v>
      </c>
      <c r="Z202" s="3"/>
      <c r="AA202" s="3"/>
      <c r="AB202" s="3"/>
      <c r="AC202" s="3"/>
      <c r="AD202" s="3">
        <v>1</v>
      </c>
      <c r="AE202" s="3"/>
      <c r="AF202" s="3">
        <v>1</v>
      </c>
      <c r="AG202" s="3"/>
      <c r="AH202" s="3">
        <v>1</v>
      </c>
      <c r="AI202" s="3"/>
      <c r="AJ202" s="3">
        <v>1</v>
      </c>
      <c r="AK202" s="3">
        <v>1</v>
      </c>
      <c r="AL202" s="3"/>
      <c r="AM202" s="3">
        <v>1</v>
      </c>
      <c r="AN202" s="3">
        <v>1</v>
      </c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 x14ac:dyDescent="0.3">
      <c r="A203" s="3" t="s">
        <v>337</v>
      </c>
      <c r="B203" s="62">
        <v>33</v>
      </c>
      <c r="C203" s="64"/>
      <c r="D203" s="3" t="s">
        <v>324</v>
      </c>
      <c r="E203" s="3"/>
      <c r="F203" s="3"/>
      <c r="G203" s="3"/>
      <c r="H203" s="3"/>
      <c r="I203" s="3"/>
      <c r="J203" s="3"/>
      <c r="K203" s="3"/>
      <c r="L203" s="3">
        <v>1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 x14ac:dyDescent="0.3">
      <c r="A204" s="3" t="s">
        <v>337</v>
      </c>
      <c r="B204" s="62">
        <v>33</v>
      </c>
      <c r="C204" s="64"/>
      <c r="D204" s="3" t="s">
        <v>198</v>
      </c>
      <c r="E204" s="3">
        <v>1</v>
      </c>
      <c r="F204" s="3">
        <v>1</v>
      </c>
      <c r="G204" s="3"/>
      <c r="H204" s="3"/>
      <c r="I204" s="3">
        <v>1</v>
      </c>
      <c r="J204" s="3">
        <v>1</v>
      </c>
      <c r="K204" s="3">
        <v>1</v>
      </c>
      <c r="L204" s="3">
        <v>1</v>
      </c>
      <c r="M204" s="3">
        <v>1</v>
      </c>
      <c r="N204" s="3">
        <v>1</v>
      </c>
      <c r="O204" s="3"/>
      <c r="P204" s="3">
        <v>1</v>
      </c>
      <c r="Q204" s="3">
        <v>1</v>
      </c>
      <c r="R204" s="3">
        <v>1</v>
      </c>
      <c r="S204" s="3">
        <v>1</v>
      </c>
      <c r="T204" s="3">
        <v>1</v>
      </c>
      <c r="U204" s="3"/>
      <c r="V204" s="3"/>
      <c r="W204" s="3">
        <v>1</v>
      </c>
      <c r="X204" s="3">
        <v>1</v>
      </c>
      <c r="Y204" s="3">
        <v>1</v>
      </c>
      <c r="Z204" s="3">
        <v>1</v>
      </c>
      <c r="AA204" s="3"/>
      <c r="AB204" s="3">
        <v>1</v>
      </c>
      <c r="AC204" s="3"/>
      <c r="AD204" s="3">
        <v>1</v>
      </c>
      <c r="AE204" s="3">
        <v>1</v>
      </c>
      <c r="AF204" s="3">
        <v>1</v>
      </c>
      <c r="AG204" s="3">
        <v>1</v>
      </c>
      <c r="AH204" s="3">
        <v>1</v>
      </c>
      <c r="AI204" s="3">
        <v>1</v>
      </c>
      <c r="AJ204" s="3">
        <v>1</v>
      </c>
      <c r="AK204" s="3">
        <v>1</v>
      </c>
      <c r="AL204" s="3"/>
      <c r="AM204" s="3">
        <v>1</v>
      </c>
      <c r="AN204" s="3">
        <v>1</v>
      </c>
      <c r="AO204" s="3">
        <v>1</v>
      </c>
      <c r="AP204" s="3">
        <v>1</v>
      </c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 x14ac:dyDescent="0.3">
      <c r="A205" s="3" t="s">
        <v>337</v>
      </c>
      <c r="B205" s="62">
        <v>33</v>
      </c>
      <c r="C205" s="64"/>
      <c r="D205" s="3" t="s">
        <v>325</v>
      </c>
      <c r="E205" s="3">
        <v>1</v>
      </c>
      <c r="F205" s="3">
        <v>1</v>
      </c>
      <c r="G205" s="3"/>
      <c r="H205" s="3"/>
      <c r="I205" s="3">
        <v>1</v>
      </c>
      <c r="J205" s="3">
        <v>1</v>
      </c>
      <c r="K205" s="3">
        <v>1</v>
      </c>
      <c r="L205" s="3">
        <v>1</v>
      </c>
      <c r="M205" s="3">
        <v>1</v>
      </c>
      <c r="N205" s="3">
        <v>1</v>
      </c>
      <c r="O205" s="3"/>
      <c r="P205" s="3"/>
      <c r="Q205" s="3">
        <v>1</v>
      </c>
      <c r="R205" s="3">
        <v>1</v>
      </c>
      <c r="S205" s="3">
        <v>1</v>
      </c>
      <c r="T205" s="3">
        <v>1</v>
      </c>
      <c r="U205" s="3">
        <v>1</v>
      </c>
      <c r="V205" s="3"/>
      <c r="W205" s="3"/>
      <c r="X205" s="3"/>
      <c r="Y205" s="3">
        <v>1</v>
      </c>
      <c r="Z205" s="3"/>
      <c r="AA205" s="3"/>
      <c r="AB205" s="3">
        <v>1</v>
      </c>
      <c r="AC205" s="3">
        <v>1</v>
      </c>
      <c r="AD205" s="3">
        <v>1</v>
      </c>
      <c r="AE205" s="3">
        <v>1</v>
      </c>
      <c r="AF205" s="3"/>
      <c r="AG205" s="3">
        <v>1</v>
      </c>
      <c r="AH205" s="3">
        <v>1</v>
      </c>
      <c r="AI205" s="3">
        <v>1</v>
      </c>
      <c r="AJ205" s="3">
        <v>1</v>
      </c>
      <c r="AK205" s="3">
        <v>1</v>
      </c>
      <c r="AL205" s="3"/>
      <c r="AM205" s="3">
        <v>1</v>
      </c>
      <c r="AN205" s="3">
        <v>1</v>
      </c>
      <c r="AO205" s="3">
        <v>1</v>
      </c>
      <c r="AP205" s="3">
        <v>1</v>
      </c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 x14ac:dyDescent="0.3">
      <c r="A206" s="3" t="s">
        <v>337</v>
      </c>
      <c r="B206" s="62">
        <v>33</v>
      </c>
      <c r="C206" s="64"/>
      <c r="D206" s="3" t="s">
        <v>272</v>
      </c>
      <c r="E206" s="3"/>
      <c r="F206" s="3"/>
      <c r="G206" s="3"/>
      <c r="H206" s="3"/>
      <c r="I206" s="3">
        <v>1</v>
      </c>
      <c r="J206" s="3"/>
      <c r="K206" s="3"/>
      <c r="L206" s="3"/>
      <c r="M206" s="3"/>
      <c r="N206" s="3"/>
      <c r="O206" s="3"/>
      <c r="P206" s="3">
        <v>1</v>
      </c>
      <c r="Q206" s="3">
        <v>1</v>
      </c>
      <c r="R206" s="3">
        <v>1</v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>
        <v>1</v>
      </c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 x14ac:dyDescent="0.3">
      <c r="A207" s="3" t="s">
        <v>337</v>
      </c>
      <c r="B207" s="62">
        <v>33</v>
      </c>
      <c r="C207" s="64"/>
      <c r="D207" s="3" t="s">
        <v>125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 x14ac:dyDescent="0.3">
      <c r="A208" s="3" t="s">
        <v>337</v>
      </c>
      <c r="B208" s="62">
        <v>33</v>
      </c>
      <c r="C208" s="64"/>
      <c r="D208" s="3" t="s">
        <v>128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>
        <v>1</v>
      </c>
      <c r="Y208" s="3"/>
      <c r="Z208" s="3"/>
      <c r="AA208" s="3"/>
      <c r="AB208" s="3"/>
      <c r="AC208" s="3"/>
      <c r="AD208" s="3">
        <v>1</v>
      </c>
      <c r="AE208" s="3"/>
      <c r="AF208" s="3"/>
      <c r="AG208" s="3"/>
      <c r="AH208" s="3">
        <v>1</v>
      </c>
      <c r="AI208" s="3"/>
      <c r="AJ208" s="3"/>
      <c r="AK208" s="3"/>
      <c r="AL208" s="3"/>
      <c r="AM208" s="3">
        <v>1</v>
      </c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 x14ac:dyDescent="0.3">
      <c r="A209" s="3" t="s">
        <v>337</v>
      </c>
      <c r="B209" s="62">
        <v>41</v>
      </c>
      <c r="C209" s="64"/>
      <c r="D209" s="3" t="s">
        <v>229</v>
      </c>
      <c r="E209" s="3">
        <v>1</v>
      </c>
      <c r="F209" s="3">
        <v>1</v>
      </c>
      <c r="G209" s="3"/>
      <c r="H209" s="3"/>
      <c r="I209" s="3">
        <v>1</v>
      </c>
      <c r="J209" s="3">
        <v>1</v>
      </c>
      <c r="K209" s="3">
        <v>1</v>
      </c>
      <c r="L209" s="3">
        <v>1</v>
      </c>
      <c r="M209" s="3">
        <v>1</v>
      </c>
      <c r="N209" s="3">
        <v>1</v>
      </c>
      <c r="O209" s="3"/>
      <c r="P209" s="3">
        <v>1</v>
      </c>
      <c r="Q209" s="3">
        <v>1</v>
      </c>
      <c r="R209" s="3">
        <v>1</v>
      </c>
      <c r="S209" s="3">
        <v>1</v>
      </c>
      <c r="T209" s="3">
        <v>1</v>
      </c>
      <c r="U209" s="3">
        <v>1</v>
      </c>
      <c r="V209" s="3">
        <v>1</v>
      </c>
      <c r="W209" s="3">
        <v>1</v>
      </c>
      <c r="X209" s="3">
        <v>1</v>
      </c>
      <c r="Y209" s="3">
        <v>1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/>
      <c r="AF209" s="3">
        <v>1</v>
      </c>
      <c r="AG209" s="3">
        <v>1</v>
      </c>
      <c r="AH209" s="3">
        <v>1</v>
      </c>
      <c r="AI209" s="3">
        <v>1</v>
      </c>
      <c r="AJ209" s="3">
        <v>1</v>
      </c>
      <c r="AK209" s="3">
        <v>1</v>
      </c>
      <c r="AL209" s="3"/>
      <c r="AM209" s="3">
        <v>1</v>
      </c>
      <c r="AN209" s="3">
        <v>1</v>
      </c>
      <c r="AO209" s="3">
        <v>1</v>
      </c>
      <c r="AP209" s="3">
        <v>1</v>
      </c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 x14ac:dyDescent="0.3">
      <c r="A210" s="3" t="s">
        <v>337</v>
      </c>
      <c r="B210" s="62">
        <v>41</v>
      </c>
      <c r="C210" s="64"/>
      <c r="D210" s="3" t="s">
        <v>55</v>
      </c>
      <c r="E210" s="3">
        <v>1</v>
      </c>
      <c r="F210" s="3"/>
      <c r="G210" s="3"/>
      <c r="H210" s="3"/>
      <c r="I210" s="3">
        <v>1</v>
      </c>
      <c r="J210" s="3">
        <v>1</v>
      </c>
      <c r="K210" s="3">
        <v>1</v>
      </c>
      <c r="L210" s="3">
        <v>1</v>
      </c>
      <c r="M210" s="3">
        <v>1</v>
      </c>
      <c r="N210" s="3">
        <v>1</v>
      </c>
      <c r="O210" s="3"/>
      <c r="P210" s="3">
        <v>1</v>
      </c>
      <c r="Q210" s="3">
        <v>1</v>
      </c>
      <c r="R210" s="3">
        <v>1</v>
      </c>
      <c r="S210" s="3">
        <v>1</v>
      </c>
      <c r="T210" s="3">
        <v>1</v>
      </c>
      <c r="U210" s="3">
        <v>1</v>
      </c>
      <c r="V210" s="3">
        <v>1</v>
      </c>
      <c r="W210" s="3">
        <v>1</v>
      </c>
      <c r="X210" s="3">
        <v>1</v>
      </c>
      <c r="Y210" s="3">
        <v>1</v>
      </c>
      <c r="Z210" s="3">
        <v>1</v>
      </c>
      <c r="AA210" s="3"/>
      <c r="AB210" s="3"/>
      <c r="AC210" s="3"/>
      <c r="AD210" s="3"/>
      <c r="AE210" s="3"/>
      <c r="AF210" s="3"/>
      <c r="AG210" s="3">
        <v>1</v>
      </c>
      <c r="AH210" s="3"/>
      <c r="AI210" s="3">
        <v>1</v>
      </c>
      <c r="AJ210" s="3">
        <v>1</v>
      </c>
      <c r="AK210" s="3"/>
      <c r="AL210" s="3"/>
      <c r="AM210" s="3"/>
      <c r="AN210" s="3">
        <v>1</v>
      </c>
      <c r="AO210" s="3">
        <v>1</v>
      </c>
      <c r="AP210" s="3">
        <v>1</v>
      </c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 x14ac:dyDescent="0.3">
      <c r="A211" s="3" t="s">
        <v>337</v>
      </c>
      <c r="B211" s="62">
        <v>41</v>
      </c>
      <c r="C211" s="64"/>
      <c r="D211" s="3" t="s">
        <v>80</v>
      </c>
      <c r="E211" s="3"/>
      <c r="F211" s="3"/>
      <c r="G211" s="3"/>
      <c r="H211" s="3"/>
      <c r="I211" s="3"/>
      <c r="J211" s="3">
        <v>1</v>
      </c>
      <c r="K211" s="3"/>
      <c r="L211" s="3"/>
      <c r="M211" s="3"/>
      <c r="N211" s="3">
        <v>1</v>
      </c>
      <c r="O211" s="3"/>
      <c r="P211" s="3">
        <v>1</v>
      </c>
      <c r="Q211" s="3">
        <v>1</v>
      </c>
      <c r="R211" s="3">
        <v>1</v>
      </c>
      <c r="S211" s="3"/>
      <c r="T211" s="3">
        <v>1</v>
      </c>
      <c r="U211" s="3">
        <v>1</v>
      </c>
      <c r="V211" s="3">
        <v>1</v>
      </c>
      <c r="W211" s="3">
        <v>1</v>
      </c>
      <c r="X211" s="3">
        <v>1</v>
      </c>
      <c r="Y211" s="3">
        <v>1</v>
      </c>
      <c r="Z211" s="3">
        <v>1</v>
      </c>
      <c r="AA211" s="3">
        <v>1</v>
      </c>
      <c r="AB211" s="3"/>
      <c r="AC211" s="3"/>
      <c r="AD211" s="3"/>
      <c r="AE211" s="3"/>
      <c r="AF211" s="3">
        <v>1</v>
      </c>
      <c r="AG211" s="3">
        <v>1</v>
      </c>
      <c r="AH211" s="3"/>
      <c r="AI211" s="3">
        <v>1</v>
      </c>
      <c r="AJ211" s="3">
        <v>1</v>
      </c>
      <c r="AK211" s="3">
        <v>1</v>
      </c>
      <c r="AL211" s="3"/>
      <c r="AM211" s="3"/>
      <c r="AN211" s="3"/>
      <c r="AO211" s="3"/>
      <c r="AP211" s="3">
        <v>1</v>
      </c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 x14ac:dyDescent="0.3">
      <c r="A212" s="3" t="s">
        <v>337</v>
      </c>
      <c r="B212" s="62">
        <v>41</v>
      </c>
      <c r="C212" s="64"/>
      <c r="D212" s="3" t="s">
        <v>135</v>
      </c>
      <c r="E212" s="3">
        <v>1</v>
      </c>
      <c r="F212" s="3">
        <v>1</v>
      </c>
      <c r="G212" s="3"/>
      <c r="H212" s="3"/>
      <c r="I212" s="3">
        <v>1</v>
      </c>
      <c r="J212" s="3">
        <v>1</v>
      </c>
      <c r="K212" s="3">
        <v>1</v>
      </c>
      <c r="L212" s="3">
        <v>1</v>
      </c>
      <c r="M212" s="3">
        <v>1</v>
      </c>
      <c r="N212" s="3">
        <v>1</v>
      </c>
      <c r="O212" s="3"/>
      <c r="P212" s="3">
        <v>1</v>
      </c>
      <c r="Q212" s="3">
        <v>1</v>
      </c>
      <c r="R212" s="3">
        <v>1</v>
      </c>
      <c r="S212" s="3">
        <v>1</v>
      </c>
      <c r="T212" s="3">
        <v>1</v>
      </c>
      <c r="U212" s="3">
        <v>1</v>
      </c>
      <c r="V212" s="3">
        <v>1</v>
      </c>
      <c r="W212" s="3">
        <v>1</v>
      </c>
      <c r="X212" s="3">
        <v>1</v>
      </c>
      <c r="Y212" s="3">
        <v>1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/>
      <c r="AF212" s="3">
        <v>1</v>
      </c>
      <c r="AG212" s="3">
        <v>1</v>
      </c>
      <c r="AH212" s="3">
        <v>1</v>
      </c>
      <c r="AI212" s="3">
        <v>1</v>
      </c>
      <c r="AJ212" s="3">
        <v>1</v>
      </c>
      <c r="AK212" s="3">
        <v>1</v>
      </c>
      <c r="AL212" s="3"/>
      <c r="AM212" s="3"/>
      <c r="AN212" s="3">
        <v>1</v>
      </c>
      <c r="AO212" s="3">
        <v>1</v>
      </c>
      <c r="AP212" s="3">
        <v>1</v>
      </c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 x14ac:dyDescent="0.3">
      <c r="A213" s="3" t="s">
        <v>337</v>
      </c>
      <c r="B213" s="62">
        <v>41</v>
      </c>
      <c r="C213" s="64"/>
      <c r="D213" s="3" t="s">
        <v>74</v>
      </c>
      <c r="E213" s="3">
        <v>1</v>
      </c>
      <c r="F213" s="3">
        <v>1</v>
      </c>
      <c r="G213" s="3"/>
      <c r="H213" s="3"/>
      <c r="I213" s="3">
        <v>1</v>
      </c>
      <c r="J213" s="3">
        <v>1</v>
      </c>
      <c r="K213" s="3">
        <v>1</v>
      </c>
      <c r="L213" s="3">
        <v>1</v>
      </c>
      <c r="M213" s="3">
        <v>1</v>
      </c>
      <c r="N213" s="3">
        <v>1</v>
      </c>
      <c r="O213" s="3"/>
      <c r="P213" s="3">
        <v>1</v>
      </c>
      <c r="Q213" s="3">
        <v>1</v>
      </c>
      <c r="R213" s="3">
        <v>1</v>
      </c>
      <c r="S213" s="3">
        <v>1</v>
      </c>
      <c r="T213" s="3">
        <v>1</v>
      </c>
      <c r="U213" s="3">
        <v>1</v>
      </c>
      <c r="V213" s="3"/>
      <c r="W213" s="3">
        <v>1</v>
      </c>
      <c r="X213" s="3">
        <v>1</v>
      </c>
      <c r="Y213" s="3">
        <v>1</v>
      </c>
      <c r="Z213" s="3">
        <v>1</v>
      </c>
      <c r="AA213" s="3">
        <v>1</v>
      </c>
      <c r="AB213" s="3"/>
      <c r="AC213" s="3">
        <v>1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 x14ac:dyDescent="0.3">
      <c r="A214" s="3" t="s">
        <v>337</v>
      </c>
      <c r="B214" s="62">
        <v>41</v>
      </c>
      <c r="C214" s="64"/>
      <c r="D214" s="3" t="s">
        <v>127</v>
      </c>
      <c r="E214" s="3"/>
      <c r="F214" s="3"/>
      <c r="G214" s="3"/>
      <c r="H214" s="3"/>
      <c r="I214" s="3">
        <v>1</v>
      </c>
      <c r="J214" s="3"/>
      <c r="K214" s="3">
        <v>1</v>
      </c>
      <c r="L214" s="3"/>
      <c r="M214" s="3">
        <v>1</v>
      </c>
      <c r="N214" s="3"/>
      <c r="O214" s="3"/>
      <c r="P214" s="3"/>
      <c r="Q214" s="3">
        <v>1</v>
      </c>
      <c r="R214" s="3"/>
      <c r="S214" s="3">
        <v>1</v>
      </c>
      <c r="T214" s="3"/>
      <c r="U214" s="3">
        <v>1</v>
      </c>
      <c r="V214" s="3"/>
      <c r="W214" s="3"/>
      <c r="X214" s="3"/>
      <c r="Y214" s="3">
        <v>1</v>
      </c>
      <c r="Z214" s="3"/>
      <c r="AA214" s="3">
        <v>1</v>
      </c>
      <c r="AB214" s="3"/>
      <c r="AC214" s="3">
        <v>1</v>
      </c>
      <c r="AD214" s="3"/>
      <c r="AE214" s="3">
        <v>1</v>
      </c>
      <c r="AF214" s="3"/>
      <c r="AG214" s="3">
        <v>1</v>
      </c>
      <c r="AH214" s="3">
        <v>1</v>
      </c>
      <c r="AI214" s="3">
        <v>1</v>
      </c>
      <c r="AJ214" s="3">
        <v>1</v>
      </c>
      <c r="AK214" s="3">
        <v>1</v>
      </c>
      <c r="AL214" s="3"/>
      <c r="AM214" s="3">
        <v>1</v>
      </c>
      <c r="AN214" s="3">
        <v>1</v>
      </c>
      <c r="AO214" s="3">
        <v>1</v>
      </c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 x14ac:dyDescent="0.3">
      <c r="A215" s="3" t="s">
        <v>337</v>
      </c>
      <c r="B215" s="62">
        <v>41</v>
      </c>
      <c r="C215" s="64"/>
      <c r="D215" s="3" t="s">
        <v>157</v>
      </c>
      <c r="E215" s="3"/>
      <c r="F215" s="3"/>
      <c r="G215" s="3"/>
      <c r="H215" s="3"/>
      <c r="I215" s="3"/>
      <c r="J215" s="3"/>
      <c r="K215" s="3">
        <v>1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>
        <v>1</v>
      </c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 x14ac:dyDescent="0.3">
      <c r="A216" s="3" t="s">
        <v>337</v>
      </c>
      <c r="B216" s="62">
        <v>41</v>
      </c>
      <c r="C216" s="64"/>
      <c r="D216" s="3" t="s">
        <v>104</v>
      </c>
      <c r="E216" s="3">
        <v>1</v>
      </c>
      <c r="F216" s="3">
        <v>1</v>
      </c>
      <c r="G216" s="3"/>
      <c r="H216" s="3"/>
      <c r="I216" s="3">
        <v>1</v>
      </c>
      <c r="J216" s="3">
        <v>1</v>
      </c>
      <c r="K216" s="3">
        <v>1</v>
      </c>
      <c r="L216" s="3">
        <v>1</v>
      </c>
      <c r="M216" s="3">
        <v>1</v>
      </c>
      <c r="N216" s="3">
        <v>1</v>
      </c>
      <c r="O216" s="3"/>
      <c r="P216" s="3">
        <v>1</v>
      </c>
      <c r="Q216" s="3"/>
      <c r="R216" s="3">
        <v>1</v>
      </c>
      <c r="S216" s="3"/>
      <c r="T216" s="3">
        <v>1</v>
      </c>
      <c r="U216" s="3">
        <v>1</v>
      </c>
      <c r="V216" s="3">
        <v>1</v>
      </c>
      <c r="W216" s="3">
        <v>1</v>
      </c>
      <c r="X216" s="3">
        <v>1</v>
      </c>
      <c r="Y216" s="3">
        <v>1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  <c r="AF216" s="3">
        <v>1</v>
      </c>
      <c r="AG216" s="3">
        <v>1</v>
      </c>
      <c r="AH216" s="3"/>
      <c r="AI216" s="3">
        <v>1</v>
      </c>
      <c r="AJ216" s="3"/>
      <c r="AK216" s="3">
        <v>1</v>
      </c>
      <c r="AL216" s="3"/>
      <c r="AM216" s="3">
        <v>1</v>
      </c>
      <c r="AN216" s="3"/>
      <c r="AO216" s="3"/>
      <c r="AP216" s="3">
        <v>1</v>
      </c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 x14ac:dyDescent="0.3">
      <c r="A217" s="3" t="s">
        <v>337</v>
      </c>
      <c r="B217" s="62">
        <v>41</v>
      </c>
      <c r="C217" s="64"/>
      <c r="D217" s="3" t="s">
        <v>33</v>
      </c>
      <c r="E217" s="3"/>
      <c r="F217" s="3">
        <v>1</v>
      </c>
      <c r="G217" s="3"/>
      <c r="H217" s="3"/>
      <c r="I217" s="3">
        <v>1</v>
      </c>
      <c r="J217" s="3">
        <v>1</v>
      </c>
      <c r="K217" s="3"/>
      <c r="L217" s="3">
        <v>1</v>
      </c>
      <c r="M217" s="3">
        <v>1</v>
      </c>
      <c r="N217" s="3"/>
      <c r="O217" s="3"/>
      <c r="P217" s="3">
        <v>1</v>
      </c>
      <c r="Q217" s="3"/>
      <c r="R217" s="3">
        <v>1</v>
      </c>
      <c r="S217" s="3">
        <v>1</v>
      </c>
      <c r="T217" s="3">
        <v>1</v>
      </c>
      <c r="U217" s="3">
        <v>1</v>
      </c>
      <c r="V217" s="3">
        <v>1</v>
      </c>
      <c r="W217" s="3">
        <v>1</v>
      </c>
      <c r="X217" s="3"/>
      <c r="Y217" s="3"/>
      <c r="Z217" s="3"/>
      <c r="AA217" s="3"/>
      <c r="AB217" s="3">
        <v>1</v>
      </c>
      <c r="AC217" s="3"/>
      <c r="AD217" s="3"/>
      <c r="AE217" s="3">
        <v>1</v>
      </c>
      <c r="AF217" s="3">
        <v>1</v>
      </c>
      <c r="AG217" s="3">
        <v>1</v>
      </c>
      <c r="AH217" s="3"/>
      <c r="AI217" s="3">
        <v>1</v>
      </c>
      <c r="AJ217" s="3"/>
      <c r="AK217" s="3">
        <v>1</v>
      </c>
      <c r="AL217" s="3"/>
      <c r="AM217" s="3">
        <v>1</v>
      </c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 x14ac:dyDescent="0.3">
      <c r="A218" s="3" t="s">
        <v>337</v>
      </c>
      <c r="B218" s="62">
        <v>41</v>
      </c>
      <c r="C218" s="64"/>
      <c r="D218" s="3" t="s">
        <v>40</v>
      </c>
      <c r="E218" s="3">
        <v>1</v>
      </c>
      <c r="F218" s="3">
        <v>1</v>
      </c>
      <c r="G218" s="3"/>
      <c r="H218" s="3"/>
      <c r="I218" s="3">
        <v>1</v>
      </c>
      <c r="J218" s="3">
        <v>1</v>
      </c>
      <c r="K218" s="3">
        <v>1</v>
      </c>
      <c r="L218" s="3"/>
      <c r="M218" s="3">
        <v>1</v>
      </c>
      <c r="N218" s="3"/>
      <c r="O218" s="3"/>
      <c r="P218" s="3"/>
      <c r="Q218" s="3"/>
      <c r="R218" s="3">
        <v>1</v>
      </c>
      <c r="S218" s="3">
        <v>1</v>
      </c>
      <c r="T218" s="3">
        <v>1</v>
      </c>
      <c r="U218" s="3">
        <v>1</v>
      </c>
      <c r="V218" s="3">
        <v>1</v>
      </c>
      <c r="W218" s="3"/>
      <c r="X218" s="3"/>
      <c r="Y218" s="3">
        <v>1</v>
      </c>
      <c r="Z218" s="3"/>
      <c r="AA218" s="3">
        <v>1</v>
      </c>
      <c r="AB218" s="3">
        <v>1</v>
      </c>
      <c r="AC218" s="3">
        <v>1</v>
      </c>
      <c r="AD218" s="3">
        <v>1</v>
      </c>
      <c r="AE218" s="3">
        <v>1</v>
      </c>
      <c r="AF218" s="3">
        <v>1</v>
      </c>
      <c r="AG218" s="3">
        <v>1</v>
      </c>
      <c r="AH218" s="3"/>
      <c r="AI218" s="3"/>
      <c r="AJ218" s="3"/>
      <c r="AK218" s="3"/>
      <c r="AL218" s="3"/>
      <c r="AM218" s="3">
        <v>1</v>
      </c>
      <c r="AN218" s="3">
        <v>1</v>
      </c>
      <c r="AO218" s="3">
        <v>1</v>
      </c>
      <c r="AP218" s="3">
        <v>1</v>
      </c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 x14ac:dyDescent="0.3">
      <c r="A219" s="3" t="s">
        <v>337</v>
      </c>
      <c r="B219" s="62">
        <v>41</v>
      </c>
      <c r="C219" s="64"/>
      <c r="D219" s="3" t="s">
        <v>326</v>
      </c>
      <c r="E219" s="3">
        <v>1</v>
      </c>
      <c r="F219" s="3">
        <v>1</v>
      </c>
      <c r="G219" s="3"/>
      <c r="H219" s="3"/>
      <c r="I219" s="3">
        <v>1</v>
      </c>
      <c r="J219" s="3">
        <v>1</v>
      </c>
      <c r="K219" s="3">
        <v>1</v>
      </c>
      <c r="L219" s="3">
        <v>1</v>
      </c>
      <c r="M219" s="3">
        <v>1</v>
      </c>
      <c r="N219" s="3">
        <v>1</v>
      </c>
      <c r="O219" s="3"/>
      <c r="P219" s="3">
        <v>1</v>
      </c>
      <c r="Q219" s="3">
        <v>1</v>
      </c>
      <c r="R219" s="3">
        <v>1</v>
      </c>
      <c r="S219" s="3">
        <v>1</v>
      </c>
      <c r="T219" s="3">
        <v>1</v>
      </c>
      <c r="U219" s="3">
        <v>1</v>
      </c>
      <c r="V219" s="3">
        <v>1</v>
      </c>
      <c r="W219" s="3"/>
      <c r="X219" s="3">
        <v>1</v>
      </c>
      <c r="Y219" s="3">
        <v>1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  <c r="AF219" s="3">
        <v>1</v>
      </c>
      <c r="AG219" s="3">
        <v>1</v>
      </c>
      <c r="AH219" s="3">
        <v>1</v>
      </c>
      <c r="AI219" s="3">
        <v>1</v>
      </c>
      <c r="AJ219" s="3">
        <v>1</v>
      </c>
      <c r="AK219" s="3">
        <v>1</v>
      </c>
      <c r="AL219" s="3"/>
      <c r="AM219" s="3">
        <v>1</v>
      </c>
      <c r="AN219" s="3"/>
      <c r="AO219" s="3">
        <v>1</v>
      </c>
      <c r="AP219" s="3">
        <v>1</v>
      </c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 x14ac:dyDescent="0.3">
      <c r="A220" s="3" t="s">
        <v>337</v>
      </c>
      <c r="B220" s="62">
        <v>41</v>
      </c>
      <c r="C220" s="64"/>
      <c r="D220" s="3" t="s">
        <v>39</v>
      </c>
      <c r="E220" s="3">
        <v>1</v>
      </c>
      <c r="F220" s="3">
        <v>1</v>
      </c>
      <c r="G220" s="3"/>
      <c r="H220" s="3"/>
      <c r="I220" s="3">
        <v>1</v>
      </c>
      <c r="J220" s="3">
        <v>1</v>
      </c>
      <c r="K220" s="3">
        <v>1</v>
      </c>
      <c r="L220" s="3">
        <v>1</v>
      </c>
      <c r="M220" s="3">
        <v>1</v>
      </c>
      <c r="N220" s="3">
        <v>1</v>
      </c>
      <c r="O220" s="3"/>
      <c r="P220" s="3">
        <v>1</v>
      </c>
      <c r="Q220" s="3">
        <v>1</v>
      </c>
      <c r="R220" s="3">
        <v>1</v>
      </c>
      <c r="S220" s="3">
        <v>1</v>
      </c>
      <c r="T220" s="3">
        <v>1</v>
      </c>
      <c r="U220" s="3">
        <v>1</v>
      </c>
      <c r="V220" s="3">
        <v>1</v>
      </c>
      <c r="W220" s="3">
        <v>1</v>
      </c>
      <c r="X220" s="3"/>
      <c r="Y220" s="3">
        <v>1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  <c r="AF220" s="3">
        <v>1</v>
      </c>
      <c r="AG220" s="3">
        <v>1</v>
      </c>
      <c r="AH220" s="3">
        <v>1</v>
      </c>
      <c r="AI220" s="3">
        <v>1</v>
      </c>
      <c r="AJ220" s="3">
        <v>1</v>
      </c>
      <c r="AK220" s="3">
        <v>1</v>
      </c>
      <c r="AL220" s="3"/>
      <c r="AM220" s="3">
        <v>1</v>
      </c>
      <c r="AN220" s="3">
        <v>1</v>
      </c>
      <c r="AO220" s="3">
        <v>1</v>
      </c>
      <c r="AP220" s="3">
        <v>1</v>
      </c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 x14ac:dyDescent="0.3">
      <c r="A221" s="3" t="s">
        <v>337</v>
      </c>
      <c r="B221" s="62">
        <v>41</v>
      </c>
      <c r="C221" s="64"/>
      <c r="D221" s="3" t="s">
        <v>119</v>
      </c>
      <c r="E221" s="3"/>
      <c r="F221" s="3">
        <v>1</v>
      </c>
      <c r="G221" s="3"/>
      <c r="H221" s="3"/>
      <c r="I221" s="3">
        <v>1</v>
      </c>
      <c r="J221" s="3">
        <v>1</v>
      </c>
      <c r="K221" s="3"/>
      <c r="L221" s="3">
        <v>1</v>
      </c>
      <c r="M221" s="3">
        <v>1</v>
      </c>
      <c r="N221" s="3">
        <v>1</v>
      </c>
      <c r="O221" s="3"/>
      <c r="P221" s="3">
        <v>1</v>
      </c>
      <c r="Q221" s="3">
        <v>1</v>
      </c>
      <c r="R221" s="3">
        <v>1</v>
      </c>
      <c r="S221" s="3">
        <v>1</v>
      </c>
      <c r="T221" s="3">
        <v>1</v>
      </c>
      <c r="U221" s="3">
        <v>1</v>
      </c>
      <c r="V221" s="3">
        <v>1</v>
      </c>
      <c r="W221" s="3">
        <v>1</v>
      </c>
      <c r="X221" s="3"/>
      <c r="Y221" s="3"/>
      <c r="Z221" s="3"/>
      <c r="AA221" s="3"/>
      <c r="AB221" s="3">
        <v>1</v>
      </c>
      <c r="AC221" s="3"/>
      <c r="AD221" s="3"/>
      <c r="AE221" s="3">
        <v>1</v>
      </c>
      <c r="AF221" s="3">
        <v>1</v>
      </c>
      <c r="AG221" s="3">
        <v>1</v>
      </c>
      <c r="AH221" s="3"/>
      <c r="AI221" s="3">
        <v>1</v>
      </c>
      <c r="AJ221" s="3"/>
      <c r="AK221" s="3">
        <v>1</v>
      </c>
      <c r="AL221" s="3"/>
      <c r="AM221" s="3">
        <v>1</v>
      </c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 x14ac:dyDescent="0.3">
      <c r="A222" s="3" t="s">
        <v>337</v>
      </c>
      <c r="B222" s="62">
        <v>41</v>
      </c>
      <c r="C222" s="64"/>
      <c r="D222" s="3" t="s">
        <v>156</v>
      </c>
      <c r="E222" s="3">
        <v>1</v>
      </c>
      <c r="F222" s="3">
        <v>1</v>
      </c>
      <c r="G222" s="3"/>
      <c r="H222" s="3"/>
      <c r="I222" s="3">
        <v>1</v>
      </c>
      <c r="J222" s="3">
        <v>1</v>
      </c>
      <c r="K222" s="3">
        <v>1</v>
      </c>
      <c r="L222" s="3">
        <v>1</v>
      </c>
      <c r="M222" s="3">
        <v>1</v>
      </c>
      <c r="N222" s="3">
        <v>1</v>
      </c>
      <c r="O222" s="3"/>
      <c r="P222" s="3">
        <v>1</v>
      </c>
      <c r="Q222" s="3">
        <v>1</v>
      </c>
      <c r="R222" s="3">
        <v>1</v>
      </c>
      <c r="S222" s="3">
        <v>1</v>
      </c>
      <c r="T222" s="3">
        <v>1</v>
      </c>
      <c r="U222" s="3">
        <v>1</v>
      </c>
      <c r="V222" s="3">
        <v>1</v>
      </c>
      <c r="W222" s="3">
        <v>1</v>
      </c>
      <c r="X222" s="3">
        <v>1</v>
      </c>
      <c r="Y222" s="3">
        <v>1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  <c r="AF222" s="3">
        <v>1</v>
      </c>
      <c r="AG222" s="3">
        <v>1</v>
      </c>
      <c r="AH222" s="3">
        <v>1</v>
      </c>
      <c r="AI222" s="3">
        <v>1</v>
      </c>
      <c r="AJ222" s="3">
        <v>1</v>
      </c>
      <c r="AK222" s="3">
        <v>1</v>
      </c>
      <c r="AL222" s="3"/>
      <c r="AM222" s="3"/>
      <c r="AN222" s="3">
        <v>1</v>
      </c>
      <c r="AO222" s="3">
        <v>1</v>
      </c>
      <c r="AP222" s="3">
        <v>1</v>
      </c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 x14ac:dyDescent="0.3">
      <c r="A223" s="3" t="s">
        <v>337</v>
      </c>
      <c r="B223" s="62">
        <v>41</v>
      </c>
      <c r="C223" s="64"/>
      <c r="D223" s="3" t="s">
        <v>56</v>
      </c>
      <c r="E223" s="3">
        <v>1</v>
      </c>
      <c r="F223" s="3">
        <v>1</v>
      </c>
      <c r="G223" s="3"/>
      <c r="H223" s="3"/>
      <c r="I223" s="3">
        <v>1</v>
      </c>
      <c r="J223" s="3">
        <v>1</v>
      </c>
      <c r="K223" s="3">
        <v>1</v>
      </c>
      <c r="L223" s="3">
        <v>1</v>
      </c>
      <c r="M223" s="3"/>
      <c r="N223" s="3">
        <v>1</v>
      </c>
      <c r="O223" s="3"/>
      <c r="P223" s="3">
        <v>1</v>
      </c>
      <c r="Q223" s="3">
        <v>1</v>
      </c>
      <c r="R223" s="3">
        <v>1</v>
      </c>
      <c r="S223" s="3">
        <v>1</v>
      </c>
      <c r="T223" s="3">
        <v>1</v>
      </c>
      <c r="U223" s="3">
        <v>1</v>
      </c>
      <c r="V223" s="3">
        <v>1</v>
      </c>
      <c r="W223" s="3">
        <v>1</v>
      </c>
      <c r="X223" s="3">
        <v>1</v>
      </c>
      <c r="Y223" s="3">
        <v>1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  <c r="AF223" s="3">
        <v>1</v>
      </c>
      <c r="AG223" s="3">
        <v>1</v>
      </c>
      <c r="AH223" s="3">
        <v>1</v>
      </c>
      <c r="AI223" s="3">
        <v>1</v>
      </c>
      <c r="AJ223" s="3">
        <v>1</v>
      </c>
      <c r="AK223" s="3">
        <v>1</v>
      </c>
      <c r="AL223" s="3"/>
      <c r="AM223" s="3">
        <v>1</v>
      </c>
      <c r="AN223" s="3">
        <v>1</v>
      </c>
      <c r="AO223" s="3">
        <v>1</v>
      </c>
      <c r="AP223" s="3">
        <v>1</v>
      </c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 x14ac:dyDescent="0.3">
      <c r="A224" s="3" t="s">
        <v>337</v>
      </c>
      <c r="B224" s="62">
        <v>41</v>
      </c>
      <c r="C224" s="64"/>
      <c r="D224" s="3" t="s">
        <v>106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>
        <v>1</v>
      </c>
      <c r="AI224" s="3">
        <v>1</v>
      </c>
      <c r="AJ224" s="3">
        <v>1</v>
      </c>
      <c r="AK224" s="3">
        <v>1</v>
      </c>
      <c r="AL224" s="3"/>
      <c r="AM224" s="3">
        <v>1</v>
      </c>
      <c r="AN224" s="3">
        <v>1</v>
      </c>
      <c r="AO224" s="3">
        <v>1</v>
      </c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 x14ac:dyDescent="0.3">
      <c r="A225" s="3" t="s">
        <v>337</v>
      </c>
      <c r="B225" s="62">
        <v>41</v>
      </c>
      <c r="C225" s="64"/>
      <c r="D225" s="3" t="s">
        <v>205</v>
      </c>
      <c r="E225" s="3">
        <v>1</v>
      </c>
      <c r="F225" s="3">
        <v>1</v>
      </c>
      <c r="G225" s="3"/>
      <c r="H225" s="3"/>
      <c r="I225" s="3">
        <v>1</v>
      </c>
      <c r="J225" s="3">
        <v>1</v>
      </c>
      <c r="K225" s="3">
        <v>1</v>
      </c>
      <c r="L225" s="3">
        <v>1</v>
      </c>
      <c r="M225" s="3">
        <v>1</v>
      </c>
      <c r="N225" s="3">
        <v>1</v>
      </c>
      <c r="O225" s="3"/>
      <c r="P225" s="3">
        <v>1</v>
      </c>
      <c r="Q225" s="3"/>
      <c r="R225" s="3">
        <v>1</v>
      </c>
      <c r="S225" s="3">
        <v>1</v>
      </c>
      <c r="T225" s="3">
        <v>1</v>
      </c>
      <c r="U225" s="3">
        <v>1</v>
      </c>
      <c r="V225" s="3"/>
      <c r="W225" s="3">
        <v>1</v>
      </c>
      <c r="X225" s="3">
        <v>1</v>
      </c>
      <c r="Y225" s="3">
        <v>1</v>
      </c>
      <c r="Z225" s="3">
        <v>1</v>
      </c>
      <c r="AA225" s="3">
        <v>1</v>
      </c>
      <c r="AB225" s="3">
        <v>1</v>
      </c>
      <c r="AC225" s="3">
        <v>1</v>
      </c>
      <c r="AD225" s="3"/>
      <c r="AE225" s="3">
        <v>1</v>
      </c>
      <c r="AF225" s="3">
        <v>1</v>
      </c>
      <c r="AG225" s="3">
        <v>1</v>
      </c>
      <c r="AH225" s="3">
        <v>1</v>
      </c>
      <c r="AI225" s="3">
        <v>1</v>
      </c>
      <c r="AJ225" s="3">
        <v>1</v>
      </c>
      <c r="AK225" s="3">
        <v>1</v>
      </c>
      <c r="AL225" s="3"/>
      <c r="AM225" s="3">
        <v>1</v>
      </c>
      <c r="AN225" s="3">
        <v>1</v>
      </c>
      <c r="AO225" s="3">
        <v>1</v>
      </c>
      <c r="AP225" s="3">
        <v>1</v>
      </c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 x14ac:dyDescent="0.3">
      <c r="A226" s="3" t="s">
        <v>337</v>
      </c>
      <c r="B226" s="62">
        <v>41</v>
      </c>
      <c r="C226" s="64"/>
      <c r="D226" s="3" t="s">
        <v>154</v>
      </c>
      <c r="E226" s="3"/>
      <c r="F226" s="3"/>
      <c r="G226" s="3"/>
      <c r="H226" s="3"/>
      <c r="I226" s="3"/>
      <c r="J226" s="3">
        <v>1</v>
      </c>
      <c r="K226" s="3">
        <v>1</v>
      </c>
      <c r="L226" s="3">
        <v>1</v>
      </c>
      <c r="M226" s="3"/>
      <c r="N226" s="3">
        <v>1</v>
      </c>
      <c r="O226" s="3"/>
      <c r="P226" s="3">
        <v>1</v>
      </c>
      <c r="Q226" s="3">
        <v>1</v>
      </c>
      <c r="R226" s="3">
        <v>1</v>
      </c>
      <c r="S226" s="3">
        <v>1</v>
      </c>
      <c r="T226" s="3">
        <v>1</v>
      </c>
      <c r="U226" s="3">
        <v>1</v>
      </c>
      <c r="V226" s="3">
        <v>1</v>
      </c>
      <c r="W226" s="3">
        <v>1</v>
      </c>
      <c r="X226" s="3">
        <v>1</v>
      </c>
      <c r="Y226" s="3">
        <v>1</v>
      </c>
      <c r="Z226" s="3">
        <v>1</v>
      </c>
      <c r="AA226" s="3">
        <v>1</v>
      </c>
      <c r="AB226" s="3">
        <v>1</v>
      </c>
      <c r="AC226" s="3">
        <v>1</v>
      </c>
      <c r="AD226" s="3"/>
      <c r="AE226" s="3">
        <v>1</v>
      </c>
      <c r="AF226" s="3">
        <v>1</v>
      </c>
      <c r="AG226" s="3">
        <v>1</v>
      </c>
      <c r="AH226" s="3"/>
      <c r="AI226" s="3">
        <v>1</v>
      </c>
      <c r="AJ226" s="3">
        <v>1</v>
      </c>
      <c r="AK226" s="3">
        <v>1</v>
      </c>
      <c r="AL226" s="3"/>
      <c r="AM226" s="3"/>
      <c r="AN226" s="3">
        <v>1</v>
      </c>
      <c r="AO226" s="3"/>
      <c r="AP226" s="3">
        <v>1</v>
      </c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 x14ac:dyDescent="0.3">
      <c r="A227" s="3" t="s">
        <v>337</v>
      </c>
      <c r="B227" s="62">
        <v>41</v>
      </c>
      <c r="C227" s="64"/>
      <c r="D227" s="3" t="s">
        <v>183</v>
      </c>
      <c r="E227" s="3">
        <v>1</v>
      </c>
      <c r="F227" s="3">
        <v>1</v>
      </c>
      <c r="G227" s="3"/>
      <c r="H227" s="3"/>
      <c r="I227" s="3">
        <v>1</v>
      </c>
      <c r="J227" s="3">
        <v>1</v>
      </c>
      <c r="K227" s="3">
        <v>1</v>
      </c>
      <c r="L227" s="3">
        <v>1</v>
      </c>
      <c r="M227" s="3">
        <v>1</v>
      </c>
      <c r="N227" s="3">
        <v>1</v>
      </c>
      <c r="O227" s="3"/>
      <c r="P227" s="3">
        <v>1</v>
      </c>
      <c r="Q227" s="3">
        <v>1</v>
      </c>
      <c r="R227" s="3">
        <v>1</v>
      </c>
      <c r="S227" s="3">
        <v>1</v>
      </c>
      <c r="T227" s="3">
        <v>1</v>
      </c>
      <c r="U227" s="3">
        <v>1</v>
      </c>
      <c r="V227" s="3">
        <v>1</v>
      </c>
      <c r="W227" s="3">
        <v>1</v>
      </c>
      <c r="X227" s="3">
        <v>1</v>
      </c>
      <c r="Y227" s="3">
        <v>1</v>
      </c>
      <c r="Z227" s="3">
        <v>1</v>
      </c>
      <c r="AA227" s="3">
        <v>1</v>
      </c>
      <c r="AB227" s="3">
        <v>1</v>
      </c>
      <c r="AC227" s="3">
        <v>1</v>
      </c>
      <c r="AD227" s="3"/>
      <c r="AE227" s="3"/>
      <c r="AF227" s="3">
        <v>1</v>
      </c>
      <c r="AG227" s="3">
        <v>1</v>
      </c>
      <c r="AH227" s="3"/>
      <c r="AI227" s="3">
        <v>1</v>
      </c>
      <c r="AJ227" s="3">
        <v>1</v>
      </c>
      <c r="AK227" s="3">
        <v>1</v>
      </c>
      <c r="AL227" s="3"/>
      <c r="AM227" s="3">
        <v>1</v>
      </c>
      <c r="AN227" s="3">
        <v>1</v>
      </c>
      <c r="AO227" s="3">
        <v>1</v>
      </c>
      <c r="AP227" s="3">
        <v>1</v>
      </c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 x14ac:dyDescent="0.3">
      <c r="A228" s="3" t="s">
        <v>337</v>
      </c>
      <c r="B228" s="62">
        <v>41</v>
      </c>
      <c r="C228" s="64"/>
      <c r="D228" s="3" t="s">
        <v>226</v>
      </c>
      <c r="E228" s="3"/>
      <c r="F228" s="3">
        <v>1</v>
      </c>
      <c r="G228" s="3"/>
      <c r="H228" s="3"/>
      <c r="I228" s="3">
        <v>1</v>
      </c>
      <c r="J228" s="3">
        <v>1</v>
      </c>
      <c r="K228" s="3">
        <v>1</v>
      </c>
      <c r="L228" s="3">
        <v>1</v>
      </c>
      <c r="M228" s="3">
        <v>1</v>
      </c>
      <c r="N228" s="3"/>
      <c r="O228" s="3"/>
      <c r="P228" s="3">
        <v>1</v>
      </c>
      <c r="Q228" s="3">
        <v>1</v>
      </c>
      <c r="R228" s="3">
        <v>1</v>
      </c>
      <c r="S228" s="3">
        <v>1</v>
      </c>
      <c r="T228" s="3">
        <v>1</v>
      </c>
      <c r="U228" s="3">
        <v>1</v>
      </c>
      <c r="V228" s="3">
        <v>1</v>
      </c>
      <c r="W228" s="3"/>
      <c r="X228" s="3">
        <v>1</v>
      </c>
      <c r="Y228" s="3">
        <v>1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  <c r="AF228" s="3">
        <v>1</v>
      </c>
      <c r="AG228" s="3"/>
      <c r="AH228" s="3"/>
      <c r="AI228" s="3">
        <v>1</v>
      </c>
      <c r="AJ228" s="3">
        <v>1</v>
      </c>
      <c r="AK228" s="3">
        <v>1</v>
      </c>
      <c r="AL228" s="3"/>
      <c r="AM228" s="3"/>
      <c r="AN228" s="3">
        <v>1</v>
      </c>
      <c r="AO228" s="3">
        <v>1</v>
      </c>
      <c r="AP228" s="3">
        <v>1</v>
      </c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 x14ac:dyDescent="0.3">
      <c r="A229" s="3" t="s">
        <v>337</v>
      </c>
      <c r="B229" s="62">
        <v>41</v>
      </c>
      <c r="C229" s="64"/>
      <c r="D229" s="3" t="s">
        <v>133</v>
      </c>
      <c r="E229" s="3"/>
      <c r="F229" s="3">
        <v>1</v>
      </c>
      <c r="G229" s="3"/>
      <c r="H229" s="3"/>
      <c r="I229" s="3"/>
      <c r="J229" s="3">
        <v>1</v>
      </c>
      <c r="K229" s="3">
        <v>1</v>
      </c>
      <c r="L229" s="3">
        <v>1</v>
      </c>
      <c r="M229" s="3"/>
      <c r="N229" s="3">
        <v>1</v>
      </c>
      <c r="O229" s="3"/>
      <c r="P229" s="3">
        <v>1</v>
      </c>
      <c r="Q229" s="3">
        <v>1</v>
      </c>
      <c r="R229" s="3">
        <v>1</v>
      </c>
      <c r="S229" s="3">
        <v>1</v>
      </c>
      <c r="T229" s="3">
        <v>1</v>
      </c>
      <c r="U229" s="3">
        <v>1</v>
      </c>
      <c r="V229" s="3">
        <v>1</v>
      </c>
      <c r="W229" s="3">
        <v>1</v>
      </c>
      <c r="X229" s="3">
        <v>1</v>
      </c>
      <c r="Y229" s="3">
        <v>1</v>
      </c>
      <c r="Z229" s="3">
        <v>1</v>
      </c>
      <c r="AA229" s="3">
        <v>1</v>
      </c>
      <c r="AB229" s="3">
        <v>1</v>
      </c>
      <c r="AC229" s="3">
        <v>1</v>
      </c>
      <c r="AD229" s="3"/>
      <c r="AE229" s="3">
        <v>1</v>
      </c>
      <c r="AF229" s="3">
        <v>1</v>
      </c>
      <c r="AG229" s="3">
        <v>1</v>
      </c>
      <c r="AH229" s="3"/>
      <c r="AI229" s="3">
        <v>1</v>
      </c>
      <c r="AJ229" s="3">
        <v>1</v>
      </c>
      <c r="AK229" s="3">
        <v>1</v>
      </c>
      <c r="AL229" s="3"/>
      <c r="AM229" s="3">
        <v>1</v>
      </c>
      <c r="AN229" s="3">
        <v>1</v>
      </c>
      <c r="AO229" s="3">
        <v>1</v>
      </c>
      <c r="AP229" s="3">
        <v>1</v>
      </c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 x14ac:dyDescent="0.3">
      <c r="A230" s="3" t="s">
        <v>337</v>
      </c>
      <c r="B230" s="62">
        <v>41</v>
      </c>
      <c r="C230" s="64"/>
      <c r="D230" s="3" t="s">
        <v>218</v>
      </c>
      <c r="E230" s="3">
        <v>1</v>
      </c>
      <c r="F230" s="3">
        <v>1</v>
      </c>
      <c r="G230" s="3"/>
      <c r="H230" s="3"/>
      <c r="I230" s="3">
        <v>1</v>
      </c>
      <c r="J230" s="3">
        <v>1</v>
      </c>
      <c r="K230" s="3">
        <v>1</v>
      </c>
      <c r="L230" s="3">
        <v>1</v>
      </c>
      <c r="M230" s="3">
        <v>1</v>
      </c>
      <c r="N230" s="3">
        <v>1</v>
      </c>
      <c r="O230" s="3"/>
      <c r="P230" s="3">
        <v>1</v>
      </c>
      <c r="Q230" s="3">
        <v>1</v>
      </c>
      <c r="R230" s="3">
        <v>1</v>
      </c>
      <c r="S230" s="3">
        <v>1</v>
      </c>
      <c r="T230" s="3">
        <v>1</v>
      </c>
      <c r="U230" s="3">
        <v>1</v>
      </c>
      <c r="V230" s="3">
        <v>1</v>
      </c>
      <c r="W230" s="3">
        <v>1</v>
      </c>
      <c r="X230" s="3">
        <v>1</v>
      </c>
      <c r="Y230" s="3">
        <v>1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3">
        <v>1</v>
      </c>
      <c r="AG230" s="3">
        <v>1</v>
      </c>
      <c r="AH230" s="3">
        <v>1</v>
      </c>
      <c r="AI230" s="3">
        <v>1</v>
      </c>
      <c r="AJ230" s="3">
        <v>1</v>
      </c>
      <c r="AK230" s="3">
        <v>1</v>
      </c>
      <c r="AL230" s="3"/>
      <c r="AM230" s="3">
        <v>1</v>
      </c>
      <c r="AN230" s="3">
        <v>1</v>
      </c>
      <c r="AO230" s="3">
        <v>1</v>
      </c>
      <c r="AP230" s="3">
        <v>1</v>
      </c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 x14ac:dyDescent="0.3">
      <c r="A231" s="3" t="s">
        <v>337</v>
      </c>
      <c r="B231" s="62">
        <v>41</v>
      </c>
      <c r="C231" s="64"/>
      <c r="D231" s="3" t="s">
        <v>327</v>
      </c>
      <c r="E231" s="3"/>
      <c r="F231" s="3">
        <v>1</v>
      </c>
      <c r="G231" s="3"/>
      <c r="H231" s="3"/>
      <c r="I231" s="3"/>
      <c r="J231" s="3">
        <v>1</v>
      </c>
      <c r="K231" s="3">
        <v>1</v>
      </c>
      <c r="L231" s="3">
        <v>1</v>
      </c>
      <c r="M231" s="3">
        <v>1</v>
      </c>
      <c r="N231" s="3"/>
      <c r="O231" s="3"/>
      <c r="P231" s="3">
        <v>1</v>
      </c>
      <c r="Q231" s="3">
        <v>1</v>
      </c>
      <c r="R231" s="3">
        <v>1</v>
      </c>
      <c r="S231" s="3"/>
      <c r="T231" s="3">
        <v>1</v>
      </c>
      <c r="U231" s="3">
        <v>1</v>
      </c>
      <c r="V231" s="3">
        <v>1</v>
      </c>
      <c r="W231" s="3"/>
      <c r="X231" s="3">
        <v>1</v>
      </c>
      <c r="Y231" s="3">
        <v>1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3"/>
      <c r="AG231" s="3"/>
      <c r="AH231" s="3"/>
      <c r="AI231" s="3">
        <v>1</v>
      </c>
      <c r="AJ231" s="3">
        <v>1</v>
      </c>
      <c r="AK231" s="3">
        <v>1</v>
      </c>
      <c r="AL231" s="3"/>
      <c r="AM231" s="3"/>
      <c r="AN231" s="3">
        <v>1</v>
      </c>
      <c r="AO231" s="3">
        <v>1</v>
      </c>
      <c r="AP231" s="3">
        <v>1</v>
      </c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 x14ac:dyDescent="0.3">
      <c r="A232" s="3" t="s">
        <v>337</v>
      </c>
      <c r="B232" s="62">
        <v>41</v>
      </c>
      <c r="C232" s="64"/>
      <c r="D232" s="3" t="s">
        <v>247</v>
      </c>
      <c r="E232" s="3">
        <v>1</v>
      </c>
      <c r="F232" s="3">
        <v>1</v>
      </c>
      <c r="G232" s="3"/>
      <c r="H232" s="3"/>
      <c r="I232" s="3"/>
      <c r="J232" s="3">
        <v>1</v>
      </c>
      <c r="K232" s="3">
        <v>1</v>
      </c>
      <c r="L232" s="3">
        <v>1</v>
      </c>
      <c r="M232" s="3">
        <v>1</v>
      </c>
      <c r="N232" s="3">
        <v>1</v>
      </c>
      <c r="O232" s="3"/>
      <c r="P232" s="3">
        <v>1</v>
      </c>
      <c r="Q232" s="3">
        <v>1</v>
      </c>
      <c r="R232" s="3">
        <v>1</v>
      </c>
      <c r="S232" s="3">
        <v>1</v>
      </c>
      <c r="T232" s="3">
        <v>1</v>
      </c>
      <c r="U232" s="3">
        <v>1</v>
      </c>
      <c r="V232" s="3">
        <v>1</v>
      </c>
      <c r="W232" s="3">
        <v>1</v>
      </c>
      <c r="X232" s="3">
        <v>1</v>
      </c>
      <c r="Y232" s="3">
        <v>1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  <c r="AF232" s="3">
        <v>1</v>
      </c>
      <c r="AG232" s="3">
        <v>1</v>
      </c>
      <c r="AH232" s="3"/>
      <c r="AI232" s="3">
        <v>1</v>
      </c>
      <c r="AJ232" s="3">
        <v>1</v>
      </c>
      <c r="AK232" s="3">
        <v>1</v>
      </c>
      <c r="AL232" s="3"/>
      <c r="AM232" s="3">
        <v>1</v>
      </c>
      <c r="AN232" s="3">
        <v>1</v>
      </c>
      <c r="AO232" s="3">
        <v>1</v>
      </c>
      <c r="AP232" s="3">
        <v>1</v>
      </c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 x14ac:dyDescent="0.3">
      <c r="A233" s="3" t="s">
        <v>337</v>
      </c>
      <c r="B233" s="62">
        <v>41</v>
      </c>
      <c r="C233" s="64"/>
      <c r="D233" s="3" t="s">
        <v>173</v>
      </c>
      <c r="E233" s="3"/>
      <c r="F233" s="3">
        <v>1</v>
      </c>
      <c r="G233" s="3"/>
      <c r="H233" s="3"/>
      <c r="I233" s="3"/>
      <c r="J233" s="3"/>
      <c r="K233" s="3"/>
      <c r="L233" s="3">
        <v>1</v>
      </c>
      <c r="M233" s="3"/>
      <c r="N233" s="3">
        <v>1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>
        <v>1</v>
      </c>
      <c r="AB233" s="3"/>
      <c r="AC233" s="3"/>
      <c r="AD233" s="3"/>
      <c r="AE233" s="3"/>
      <c r="AF233" s="3">
        <v>1</v>
      </c>
      <c r="AG233" s="3"/>
      <c r="AH233" s="3"/>
      <c r="AI233" s="3"/>
      <c r="AJ233" s="3"/>
      <c r="AK233" s="3"/>
      <c r="AL233" s="3"/>
      <c r="AM233" s="3"/>
      <c r="AN233" s="3"/>
      <c r="AO233" s="3">
        <v>1</v>
      </c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 x14ac:dyDescent="0.3">
      <c r="A234" s="3" t="s">
        <v>337</v>
      </c>
      <c r="B234" s="62">
        <v>41</v>
      </c>
      <c r="C234" s="64"/>
      <c r="D234" s="3" t="s">
        <v>153</v>
      </c>
      <c r="E234" s="3">
        <v>1</v>
      </c>
      <c r="F234" s="3">
        <v>1</v>
      </c>
      <c r="G234" s="3"/>
      <c r="H234" s="3"/>
      <c r="I234" s="3">
        <v>1</v>
      </c>
      <c r="J234" s="3">
        <v>1</v>
      </c>
      <c r="K234" s="3">
        <v>1</v>
      </c>
      <c r="L234" s="3">
        <v>1</v>
      </c>
      <c r="M234" s="3"/>
      <c r="N234" s="3">
        <v>1</v>
      </c>
      <c r="O234" s="3"/>
      <c r="P234" s="3">
        <v>1</v>
      </c>
      <c r="Q234" s="3">
        <v>1</v>
      </c>
      <c r="R234" s="3">
        <v>1</v>
      </c>
      <c r="S234" s="3">
        <v>1</v>
      </c>
      <c r="T234" s="3">
        <v>1</v>
      </c>
      <c r="U234" s="3">
        <v>1</v>
      </c>
      <c r="V234" s="3">
        <v>1</v>
      </c>
      <c r="W234" s="3"/>
      <c r="X234" s="3">
        <v>1</v>
      </c>
      <c r="Y234" s="3">
        <v>1</v>
      </c>
      <c r="Z234" s="3">
        <v>1</v>
      </c>
      <c r="AA234" s="3">
        <v>1</v>
      </c>
      <c r="AB234" s="3">
        <v>1</v>
      </c>
      <c r="AC234" s="3">
        <v>1</v>
      </c>
      <c r="AD234" s="3"/>
      <c r="AE234" s="3"/>
      <c r="AF234" s="3">
        <v>1</v>
      </c>
      <c r="AG234" s="3">
        <v>1</v>
      </c>
      <c r="AH234" s="3"/>
      <c r="AI234" s="3">
        <v>1</v>
      </c>
      <c r="AJ234" s="3">
        <v>1</v>
      </c>
      <c r="AK234" s="3">
        <v>1</v>
      </c>
      <c r="AL234" s="3"/>
      <c r="AM234" s="3">
        <v>1</v>
      </c>
      <c r="AN234" s="3">
        <v>1</v>
      </c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 x14ac:dyDescent="0.3">
      <c r="A235" s="3" t="s">
        <v>337</v>
      </c>
      <c r="B235" s="62">
        <v>41</v>
      </c>
      <c r="C235" s="64"/>
      <c r="D235" s="3" t="s">
        <v>145</v>
      </c>
      <c r="E235" s="3">
        <v>1</v>
      </c>
      <c r="F235" s="3">
        <v>1</v>
      </c>
      <c r="G235" s="3"/>
      <c r="H235" s="3"/>
      <c r="I235" s="3">
        <v>1</v>
      </c>
      <c r="J235" s="3">
        <v>1</v>
      </c>
      <c r="K235" s="3">
        <v>1</v>
      </c>
      <c r="L235" s="3">
        <v>1</v>
      </c>
      <c r="M235" s="3">
        <v>1</v>
      </c>
      <c r="N235" s="3">
        <v>1</v>
      </c>
      <c r="O235" s="3"/>
      <c r="P235" s="3">
        <v>1</v>
      </c>
      <c r="Q235" s="3">
        <v>1</v>
      </c>
      <c r="R235" s="3">
        <v>1</v>
      </c>
      <c r="S235" s="3">
        <v>1</v>
      </c>
      <c r="T235" s="3">
        <v>1</v>
      </c>
      <c r="U235" s="3">
        <v>1</v>
      </c>
      <c r="V235" s="3">
        <v>1</v>
      </c>
      <c r="W235" s="3">
        <v>1</v>
      </c>
      <c r="X235" s="3">
        <v>1</v>
      </c>
      <c r="Y235" s="3">
        <v>1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3">
        <v>1</v>
      </c>
      <c r="AG235" s="3">
        <v>1</v>
      </c>
      <c r="AH235" s="3">
        <v>1</v>
      </c>
      <c r="AI235" s="3">
        <v>1</v>
      </c>
      <c r="AJ235" s="3">
        <v>1</v>
      </c>
      <c r="AK235" s="3">
        <v>1</v>
      </c>
      <c r="AL235" s="3"/>
      <c r="AM235" s="3">
        <v>1</v>
      </c>
      <c r="AN235" s="3">
        <v>1</v>
      </c>
      <c r="AO235" s="3"/>
      <c r="AP235" s="3">
        <v>1</v>
      </c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 x14ac:dyDescent="0.3">
      <c r="A236" s="3" t="s">
        <v>337</v>
      </c>
      <c r="B236" s="62">
        <v>41</v>
      </c>
      <c r="C236" s="64"/>
      <c r="D236" s="3" t="s">
        <v>178</v>
      </c>
      <c r="E236" s="3">
        <v>1</v>
      </c>
      <c r="F236" s="3"/>
      <c r="G236" s="3"/>
      <c r="H236" s="3"/>
      <c r="I236" s="3">
        <v>1</v>
      </c>
      <c r="J236" s="3">
        <v>1</v>
      </c>
      <c r="K236" s="3">
        <v>1</v>
      </c>
      <c r="L236" s="3">
        <v>1</v>
      </c>
      <c r="M236" s="3">
        <v>1</v>
      </c>
      <c r="N236" s="3">
        <v>1</v>
      </c>
      <c r="O236" s="3"/>
      <c r="P236" s="3">
        <v>1</v>
      </c>
      <c r="Q236" s="3">
        <v>1</v>
      </c>
      <c r="R236" s="3">
        <v>1</v>
      </c>
      <c r="S236" s="3">
        <v>1</v>
      </c>
      <c r="T236" s="3">
        <v>1</v>
      </c>
      <c r="U236" s="3">
        <v>1</v>
      </c>
      <c r="V236" s="3">
        <v>1</v>
      </c>
      <c r="W236" s="3">
        <v>1</v>
      </c>
      <c r="X236" s="3">
        <v>1</v>
      </c>
      <c r="Y236" s="3">
        <v>1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  <c r="AF236" s="3">
        <v>1</v>
      </c>
      <c r="AG236" s="3">
        <v>1</v>
      </c>
      <c r="AH236" s="3">
        <v>1</v>
      </c>
      <c r="AI236" s="3">
        <v>1</v>
      </c>
      <c r="AJ236" s="3">
        <v>1</v>
      </c>
      <c r="AK236" s="3">
        <v>1</v>
      </c>
      <c r="AL236" s="3"/>
      <c r="AM236" s="3">
        <v>1</v>
      </c>
      <c r="AN236" s="3">
        <v>1</v>
      </c>
      <c r="AO236" s="3"/>
      <c r="AP236" s="3">
        <v>1</v>
      </c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 x14ac:dyDescent="0.3">
      <c r="A237" s="3" t="s">
        <v>337</v>
      </c>
      <c r="B237" s="62">
        <v>41</v>
      </c>
      <c r="C237" s="64"/>
      <c r="D237" s="3" t="s">
        <v>174</v>
      </c>
      <c r="E237" s="3">
        <v>1</v>
      </c>
      <c r="F237" s="3">
        <v>1</v>
      </c>
      <c r="G237" s="3"/>
      <c r="H237" s="3"/>
      <c r="I237" s="3"/>
      <c r="J237" s="3">
        <v>1</v>
      </c>
      <c r="K237" s="3">
        <v>1</v>
      </c>
      <c r="L237" s="3">
        <v>1</v>
      </c>
      <c r="M237" s="3">
        <v>1</v>
      </c>
      <c r="N237" s="3">
        <v>1</v>
      </c>
      <c r="O237" s="3"/>
      <c r="P237" s="3">
        <v>1</v>
      </c>
      <c r="Q237" s="3">
        <v>1</v>
      </c>
      <c r="R237" s="3">
        <v>1</v>
      </c>
      <c r="S237" s="3">
        <v>1</v>
      </c>
      <c r="T237" s="3">
        <v>1</v>
      </c>
      <c r="U237" s="3">
        <v>1</v>
      </c>
      <c r="V237" s="3">
        <v>1</v>
      </c>
      <c r="W237" s="3">
        <v>1</v>
      </c>
      <c r="X237" s="3"/>
      <c r="Y237" s="3">
        <v>1</v>
      </c>
      <c r="Z237" s="3">
        <v>1</v>
      </c>
      <c r="AA237" s="3"/>
      <c r="AB237" s="3">
        <v>1</v>
      </c>
      <c r="AC237" s="3">
        <v>1</v>
      </c>
      <c r="AD237" s="3"/>
      <c r="AE237" s="3"/>
      <c r="AF237" s="3">
        <v>1</v>
      </c>
      <c r="AG237" s="3">
        <v>1</v>
      </c>
      <c r="AH237" s="3"/>
      <c r="AI237" s="3">
        <v>1</v>
      </c>
      <c r="AJ237" s="3">
        <v>1</v>
      </c>
      <c r="AK237" s="3">
        <v>1</v>
      </c>
      <c r="AL237" s="3"/>
      <c r="AM237" s="3">
        <v>1</v>
      </c>
      <c r="AN237" s="3">
        <v>1</v>
      </c>
      <c r="AO237" s="3">
        <v>1</v>
      </c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 x14ac:dyDescent="0.3">
      <c r="A238" s="3" t="s">
        <v>337</v>
      </c>
      <c r="B238" s="62">
        <v>42</v>
      </c>
      <c r="C238" s="64"/>
      <c r="D238" s="3" t="s">
        <v>57</v>
      </c>
      <c r="E238" s="3">
        <v>1</v>
      </c>
      <c r="F238" s="3">
        <v>1</v>
      </c>
      <c r="G238" s="3"/>
      <c r="H238" s="3"/>
      <c r="I238" s="3">
        <v>1</v>
      </c>
      <c r="J238" s="3">
        <v>1</v>
      </c>
      <c r="K238" s="3">
        <v>1</v>
      </c>
      <c r="L238" s="3"/>
      <c r="M238" s="3">
        <v>1</v>
      </c>
      <c r="N238" s="3">
        <v>1</v>
      </c>
      <c r="O238" s="3"/>
      <c r="P238" s="3">
        <v>1</v>
      </c>
      <c r="Q238" s="3">
        <v>1</v>
      </c>
      <c r="R238" s="3">
        <v>1</v>
      </c>
      <c r="S238" s="3">
        <v>1</v>
      </c>
      <c r="T238" s="3">
        <v>1</v>
      </c>
      <c r="U238" s="3">
        <v>1</v>
      </c>
      <c r="V238" s="3">
        <v>1</v>
      </c>
      <c r="W238" s="3"/>
      <c r="X238" s="3">
        <v>1</v>
      </c>
      <c r="Y238" s="3"/>
      <c r="Z238" s="3">
        <v>1</v>
      </c>
      <c r="AA238" s="3">
        <v>1</v>
      </c>
      <c r="AB238" s="3">
        <v>1</v>
      </c>
      <c r="AC238" s="3">
        <v>1</v>
      </c>
      <c r="AD238" s="3"/>
      <c r="AE238" s="3"/>
      <c r="AF238" s="3">
        <v>1</v>
      </c>
      <c r="AG238" s="3">
        <v>1</v>
      </c>
      <c r="AH238" s="3"/>
      <c r="AI238" s="3">
        <v>1</v>
      </c>
      <c r="AJ238" s="3">
        <v>1</v>
      </c>
      <c r="AK238" s="3">
        <v>1</v>
      </c>
      <c r="AL238" s="3"/>
      <c r="AM238" s="3">
        <v>1</v>
      </c>
      <c r="AN238" s="3">
        <v>1</v>
      </c>
      <c r="AO238" s="3">
        <v>1</v>
      </c>
      <c r="AP238" s="3">
        <v>1</v>
      </c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 x14ac:dyDescent="0.3">
      <c r="A239" s="3" t="s">
        <v>337</v>
      </c>
      <c r="B239" s="62">
        <v>42</v>
      </c>
      <c r="C239" s="64"/>
      <c r="D239" s="3" t="s">
        <v>152</v>
      </c>
      <c r="E239" s="3">
        <v>1</v>
      </c>
      <c r="F239" s="3">
        <v>1</v>
      </c>
      <c r="G239" s="3"/>
      <c r="H239" s="3"/>
      <c r="I239" s="3">
        <v>1</v>
      </c>
      <c r="J239" s="3">
        <v>1</v>
      </c>
      <c r="K239" s="3">
        <v>1</v>
      </c>
      <c r="L239" s="3">
        <v>1</v>
      </c>
      <c r="M239" s="3">
        <v>1</v>
      </c>
      <c r="N239" s="3"/>
      <c r="O239" s="3"/>
      <c r="P239" s="3">
        <v>1</v>
      </c>
      <c r="Q239" s="3">
        <v>1</v>
      </c>
      <c r="R239" s="3">
        <v>1</v>
      </c>
      <c r="S239" s="3"/>
      <c r="T239" s="3"/>
      <c r="U239" s="3">
        <v>1</v>
      </c>
      <c r="V239" s="3"/>
      <c r="W239" s="3"/>
      <c r="X239" s="3"/>
      <c r="Y239" s="3">
        <v>1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  <c r="AF239" s="3"/>
      <c r="AG239" s="3">
        <v>1</v>
      </c>
      <c r="AH239" s="3">
        <v>1</v>
      </c>
      <c r="AI239" s="3">
        <v>1</v>
      </c>
      <c r="AJ239" s="3">
        <v>1</v>
      </c>
      <c r="AK239" s="3">
        <v>1</v>
      </c>
      <c r="AL239" s="3"/>
      <c r="AM239" s="3">
        <v>1</v>
      </c>
      <c r="AN239" s="3">
        <v>1</v>
      </c>
      <c r="AO239" s="3">
        <v>1</v>
      </c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0" spans="1:57" x14ac:dyDescent="0.3">
      <c r="A240" s="3" t="s">
        <v>337</v>
      </c>
      <c r="B240" s="62">
        <v>42</v>
      </c>
      <c r="C240" s="64"/>
      <c r="D240" s="3" t="s">
        <v>76</v>
      </c>
      <c r="E240" s="3"/>
      <c r="F240" s="3">
        <v>1</v>
      </c>
      <c r="G240" s="3"/>
      <c r="H240" s="3"/>
      <c r="I240" s="3"/>
      <c r="J240" s="3"/>
      <c r="K240" s="3"/>
      <c r="L240" s="3">
        <v>1</v>
      </c>
      <c r="M240" s="3">
        <v>1</v>
      </c>
      <c r="N240" s="3">
        <v>1</v>
      </c>
      <c r="O240" s="3"/>
      <c r="P240" s="3">
        <v>1</v>
      </c>
      <c r="Q240" s="3">
        <v>1</v>
      </c>
      <c r="R240" s="3"/>
      <c r="S240" s="3">
        <v>1</v>
      </c>
      <c r="T240" s="3">
        <v>1</v>
      </c>
      <c r="U240" s="3"/>
      <c r="V240" s="3">
        <v>1</v>
      </c>
      <c r="W240" s="3">
        <v>1</v>
      </c>
      <c r="X240" s="3">
        <v>1</v>
      </c>
      <c r="Y240" s="3"/>
      <c r="Z240" s="3"/>
      <c r="AA240" s="3">
        <v>1</v>
      </c>
      <c r="AB240" s="3"/>
      <c r="AC240" s="3"/>
      <c r="AD240" s="3"/>
      <c r="AE240" s="3">
        <v>1</v>
      </c>
      <c r="AF240" s="3">
        <v>1</v>
      </c>
      <c r="AG240" s="3"/>
      <c r="AH240" s="3">
        <v>1</v>
      </c>
      <c r="AI240" s="3"/>
      <c r="AJ240" s="3"/>
      <c r="AK240" s="3">
        <v>1</v>
      </c>
      <c r="AL240" s="3"/>
      <c r="AM240" s="3"/>
      <c r="AN240" s="3">
        <v>1</v>
      </c>
      <c r="AO240" s="3"/>
      <c r="AP240" s="3">
        <v>1</v>
      </c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 x14ac:dyDescent="0.3">
      <c r="A241" s="3" t="s">
        <v>337</v>
      </c>
      <c r="B241" s="62">
        <v>42</v>
      </c>
      <c r="C241" s="64"/>
      <c r="D241" s="3" t="s">
        <v>158</v>
      </c>
      <c r="E241" s="3">
        <v>1</v>
      </c>
      <c r="F241" s="3">
        <v>1</v>
      </c>
      <c r="G241" s="3"/>
      <c r="H241" s="3"/>
      <c r="I241" s="3">
        <v>1</v>
      </c>
      <c r="J241" s="3">
        <v>1</v>
      </c>
      <c r="K241" s="3">
        <v>1</v>
      </c>
      <c r="L241" s="3">
        <v>1</v>
      </c>
      <c r="M241" s="3">
        <v>1</v>
      </c>
      <c r="N241" s="3">
        <v>1</v>
      </c>
      <c r="O241" s="3"/>
      <c r="P241" s="3">
        <v>1</v>
      </c>
      <c r="Q241" s="3">
        <v>1</v>
      </c>
      <c r="R241" s="3">
        <v>1</v>
      </c>
      <c r="S241" s="3">
        <v>1</v>
      </c>
      <c r="T241" s="3">
        <v>1</v>
      </c>
      <c r="U241" s="3">
        <v>1</v>
      </c>
      <c r="V241" s="3">
        <v>1</v>
      </c>
      <c r="W241" s="3"/>
      <c r="X241" s="3">
        <v>1</v>
      </c>
      <c r="Y241" s="3">
        <v>1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  <c r="AF241" s="3">
        <v>1</v>
      </c>
      <c r="AG241" s="3">
        <v>1</v>
      </c>
      <c r="AH241" s="3">
        <v>1</v>
      </c>
      <c r="AI241" s="3">
        <v>1</v>
      </c>
      <c r="AJ241" s="3">
        <v>1</v>
      </c>
      <c r="AK241" s="3">
        <v>1</v>
      </c>
      <c r="AL241" s="3"/>
      <c r="AM241" s="3">
        <v>1</v>
      </c>
      <c r="AN241" s="3">
        <v>1</v>
      </c>
      <c r="AO241" s="3">
        <v>1</v>
      </c>
      <c r="AP241" s="3">
        <v>1</v>
      </c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 x14ac:dyDescent="0.3">
      <c r="A242" s="3" t="s">
        <v>337</v>
      </c>
      <c r="B242" s="62">
        <v>42</v>
      </c>
      <c r="C242" s="64"/>
      <c r="D242" s="3" t="s">
        <v>271</v>
      </c>
      <c r="E242" s="3">
        <v>1</v>
      </c>
      <c r="F242" s="3">
        <v>1</v>
      </c>
      <c r="G242" s="3"/>
      <c r="H242" s="3"/>
      <c r="I242" s="3">
        <v>1</v>
      </c>
      <c r="J242" s="3"/>
      <c r="K242" s="3">
        <v>1</v>
      </c>
      <c r="L242" s="3">
        <v>1</v>
      </c>
      <c r="M242" s="3">
        <v>1</v>
      </c>
      <c r="N242" s="3">
        <v>1</v>
      </c>
      <c r="O242" s="3"/>
      <c r="P242" s="3">
        <v>1</v>
      </c>
      <c r="Q242" s="3">
        <v>1</v>
      </c>
      <c r="R242" s="3">
        <v>1</v>
      </c>
      <c r="S242" s="3">
        <v>1</v>
      </c>
      <c r="T242" s="3">
        <v>1</v>
      </c>
      <c r="U242" s="3">
        <v>1</v>
      </c>
      <c r="V242" s="3">
        <v>1</v>
      </c>
      <c r="W242" s="3">
        <v>1</v>
      </c>
      <c r="X242" s="3">
        <v>1</v>
      </c>
      <c r="Y242" s="3">
        <v>1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  <c r="AF242" s="3">
        <v>1</v>
      </c>
      <c r="AG242" s="3">
        <v>1</v>
      </c>
      <c r="AH242" s="3">
        <v>1</v>
      </c>
      <c r="AI242" s="3">
        <v>1</v>
      </c>
      <c r="AJ242" s="3">
        <v>1</v>
      </c>
      <c r="AK242" s="3">
        <v>1</v>
      </c>
      <c r="AL242" s="3"/>
      <c r="AM242" s="3">
        <v>1</v>
      </c>
      <c r="AN242" s="3">
        <v>1</v>
      </c>
      <c r="AO242" s="3">
        <v>1</v>
      </c>
      <c r="AP242" s="3">
        <v>1</v>
      </c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 x14ac:dyDescent="0.3">
      <c r="A243" s="3" t="s">
        <v>337</v>
      </c>
      <c r="B243" s="62">
        <v>42</v>
      </c>
      <c r="C243" s="64"/>
      <c r="D243" s="3" t="s">
        <v>34</v>
      </c>
      <c r="E243" s="3"/>
      <c r="F243" s="3">
        <v>1</v>
      </c>
      <c r="G243" s="3"/>
      <c r="H243" s="3"/>
      <c r="I243" s="3"/>
      <c r="J243" s="3">
        <v>1</v>
      </c>
      <c r="K243" s="3"/>
      <c r="L243" s="3">
        <v>1</v>
      </c>
      <c r="M243" s="3">
        <v>1</v>
      </c>
      <c r="N243" s="3"/>
      <c r="O243" s="3"/>
      <c r="P243" s="3"/>
      <c r="Q243" s="3">
        <v>1</v>
      </c>
      <c r="R243" s="3">
        <v>1</v>
      </c>
      <c r="S243" s="3"/>
      <c r="T243" s="3"/>
      <c r="U243" s="3">
        <v>1</v>
      </c>
      <c r="V243" s="3">
        <v>1</v>
      </c>
      <c r="W243" s="3">
        <v>1</v>
      </c>
      <c r="X243" s="3">
        <v>1</v>
      </c>
      <c r="Y243" s="3">
        <v>1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  <c r="AF243" s="3">
        <v>1</v>
      </c>
      <c r="AG243" s="3">
        <v>1</v>
      </c>
      <c r="AH243" s="3"/>
      <c r="AI243" s="3">
        <v>1</v>
      </c>
      <c r="AJ243" s="3">
        <v>1</v>
      </c>
      <c r="AK243" s="3"/>
      <c r="AL243" s="3"/>
      <c r="AM243" s="3">
        <v>1</v>
      </c>
      <c r="AN243" s="3"/>
      <c r="AO243" s="3">
        <v>1</v>
      </c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 x14ac:dyDescent="0.3">
      <c r="A244" s="3" t="s">
        <v>337</v>
      </c>
      <c r="B244" s="62">
        <v>42</v>
      </c>
      <c r="C244" s="64"/>
      <c r="D244" s="3" t="s">
        <v>15</v>
      </c>
      <c r="E244" s="3">
        <v>1</v>
      </c>
      <c r="F244" s="3"/>
      <c r="G244" s="3"/>
      <c r="H244" s="3"/>
      <c r="I244" s="3">
        <v>1</v>
      </c>
      <c r="J244" s="3">
        <v>1</v>
      </c>
      <c r="K244" s="3"/>
      <c r="L244" s="3"/>
      <c r="M244" s="3">
        <v>1</v>
      </c>
      <c r="N244" s="3"/>
      <c r="O244" s="3"/>
      <c r="P244" s="3">
        <v>1</v>
      </c>
      <c r="Q244" s="3">
        <v>1</v>
      </c>
      <c r="R244" s="3"/>
      <c r="S244" s="3"/>
      <c r="T244" s="3">
        <v>1</v>
      </c>
      <c r="U244" s="3">
        <v>1</v>
      </c>
      <c r="V244" s="3">
        <v>1</v>
      </c>
      <c r="W244" s="3"/>
      <c r="X244" s="3">
        <v>1</v>
      </c>
      <c r="Y244" s="3"/>
      <c r="Z244" s="3">
        <v>1</v>
      </c>
      <c r="AA244" s="3">
        <v>1</v>
      </c>
      <c r="AB244" s="3"/>
      <c r="AC244" s="3">
        <v>1</v>
      </c>
      <c r="AD244" s="3">
        <v>1</v>
      </c>
      <c r="AE244" s="3">
        <v>1</v>
      </c>
      <c r="AF244" s="3"/>
      <c r="AG244" s="3">
        <v>1</v>
      </c>
      <c r="AH244" s="3">
        <v>1</v>
      </c>
      <c r="AI244" s="3">
        <v>1</v>
      </c>
      <c r="AJ244" s="3"/>
      <c r="AK244" s="3">
        <v>1</v>
      </c>
      <c r="AL244" s="3"/>
      <c r="AM244" s="3">
        <v>1</v>
      </c>
      <c r="AN244" s="3">
        <v>1</v>
      </c>
      <c r="AO244" s="3">
        <v>1</v>
      </c>
      <c r="AP244" s="3">
        <v>1</v>
      </c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 x14ac:dyDescent="0.3">
      <c r="A245" s="3" t="s">
        <v>337</v>
      </c>
      <c r="B245" s="62">
        <v>42</v>
      </c>
      <c r="C245" s="64"/>
      <c r="D245" s="3" t="s">
        <v>161</v>
      </c>
      <c r="E245" s="3">
        <v>1</v>
      </c>
      <c r="F245" s="3">
        <v>1</v>
      </c>
      <c r="G245" s="3"/>
      <c r="H245" s="3"/>
      <c r="I245" s="3">
        <v>1</v>
      </c>
      <c r="J245" s="3">
        <v>1</v>
      </c>
      <c r="K245" s="3">
        <v>1</v>
      </c>
      <c r="L245" s="3">
        <v>1</v>
      </c>
      <c r="M245" s="3">
        <v>1</v>
      </c>
      <c r="N245" s="3">
        <v>1</v>
      </c>
      <c r="O245" s="3"/>
      <c r="P245" s="3">
        <v>1</v>
      </c>
      <c r="Q245" s="3">
        <v>1</v>
      </c>
      <c r="R245" s="3">
        <v>1</v>
      </c>
      <c r="S245" s="3">
        <v>1</v>
      </c>
      <c r="T245" s="3">
        <v>1</v>
      </c>
      <c r="U245" s="3">
        <v>1</v>
      </c>
      <c r="V245" s="3"/>
      <c r="W245" s="3"/>
      <c r="X245" s="3">
        <v>1</v>
      </c>
      <c r="Y245" s="3">
        <v>1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  <c r="AF245" s="3">
        <v>1</v>
      </c>
      <c r="AG245" s="3">
        <v>1</v>
      </c>
      <c r="AH245" s="3">
        <v>1</v>
      </c>
      <c r="AI245" s="3">
        <v>1</v>
      </c>
      <c r="AJ245" s="3">
        <v>1</v>
      </c>
      <c r="AK245" s="3">
        <v>1</v>
      </c>
      <c r="AL245" s="3"/>
      <c r="AM245" s="3">
        <v>1</v>
      </c>
      <c r="AN245" s="3">
        <v>1</v>
      </c>
      <c r="AO245" s="3">
        <v>1</v>
      </c>
      <c r="AP245" s="3">
        <v>1</v>
      </c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 x14ac:dyDescent="0.3">
      <c r="A246" s="3" t="s">
        <v>337</v>
      </c>
      <c r="B246" s="62">
        <v>42</v>
      </c>
      <c r="C246" s="64"/>
      <c r="D246" s="3" t="s">
        <v>100</v>
      </c>
      <c r="E246" s="3">
        <v>1</v>
      </c>
      <c r="F246" s="3">
        <v>1</v>
      </c>
      <c r="G246" s="3"/>
      <c r="H246" s="3"/>
      <c r="I246" s="3">
        <v>1</v>
      </c>
      <c r="J246" s="3">
        <v>1</v>
      </c>
      <c r="K246" s="3">
        <v>1</v>
      </c>
      <c r="L246" s="3">
        <v>1</v>
      </c>
      <c r="M246" s="3">
        <v>1</v>
      </c>
      <c r="N246" s="3">
        <v>1</v>
      </c>
      <c r="O246" s="3"/>
      <c r="P246" s="3">
        <v>1</v>
      </c>
      <c r="Q246" s="3"/>
      <c r="R246" s="3">
        <v>1</v>
      </c>
      <c r="S246" s="3">
        <v>1</v>
      </c>
      <c r="T246" s="3">
        <v>1</v>
      </c>
      <c r="U246" s="3">
        <v>1</v>
      </c>
      <c r="V246" s="3">
        <v>1</v>
      </c>
      <c r="W246" s="3">
        <v>1</v>
      </c>
      <c r="X246" s="3">
        <v>1</v>
      </c>
      <c r="Y246" s="3">
        <v>1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  <c r="AF246" s="3">
        <v>1</v>
      </c>
      <c r="AG246" s="3">
        <v>1</v>
      </c>
      <c r="AH246" s="3">
        <v>1</v>
      </c>
      <c r="AI246" s="3">
        <v>1</v>
      </c>
      <c r="AJ246" s="3">
        <v>1</v>
      </c>
      <c r="AK246" s="3">
        <v>1</v>
      </c>
      <c r="AL246" s="3"/>
      <c r="AM246" s="3">
        <v>1</v>
      </c>
      <c r="AN246" s="3">
        <v>1</v>
      </c>
      <c r="AO246" s="3">
        <v>1</v>
      </c>
      <c r="AP246" s="3">
        <v>1</v>
      </c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 x14ac:dyDescent="0.3">
      <c r="A247" s="3" t="s">
        <v>337</v>
      </c>
      <c r="B247" s="62">
        <v>42</v>
      </c>
      <c r="C247" s="64"/>
      <c r="D247" s="3" t="s">
        <v>41</v>
      </c>
      <c r="E247" s="3">
        <v>1</v>
      </c>
      <c r="F247" s="3">
        <v>1</v>
      </c>
      <c r="G247" s="3"/>
      <c r="H247" s="3"/>
      <c r="I247" s="3">
        <v>1</v>
      </c>
      <c r="J247" s="3">
        <v>1</v>
      </c>
      <c r="K247" s="3">
        <v>1</v>
      </c>
      <c r="L247" s="3">
        <v>1</v>
      </c>
      <c r="M247" s="3">
        <v>1</v>
      </c>
      <c r="N247" s="3">
        <v>1</v>
      </c>
      <c r="O247" s="3"/>
      <c r="P247" s="3">
        <v>1</v>
      </c>
      <c r="Q247" s="3">
        <v>1</v>
      </c>
      <c r="R247" s="3">
        <v>1</v>
      </c>
      <c r="S247" s="3">
        <v>1</v>
      </c>
      <c r="T247" s="3">
        <v>1</v>
      </c>
      <c r="U247" s="3">
        <v>1</v>
      </c>
      <c r="V247" s="3">
        <v>1</v>
      </c>
      <c r="W247" s="3">
        <v>1</v>
      </c>
      <c r="X247" s="3">
        <v>1</v>
      </c>
      <c r="Y247" s="3">
        <v>1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  <c r="AF247" s="3">
        <v>1</v>
      </c>
      <c r="AG247" s="3">
        <v>1</v>
      </c>
      <c r="AH247" s="3">
        <v>1</v>
      </c>
      <c r="AI247" s="3">
        <v>1</v>
      </c>
      <c r="AJ247" s="3">
        <v>1</v>
      </c>
      <c r="AK247" s="3">
        <v>1</v>
      </c>
      <c r="AL247" s="3"/>
      <c r="AM247" s="3">
        <v>1</v>
      </c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 x14ac:dyDescent="0.3">
      <c r="A248" s="3" t="s">
        <v>337</v>
      </c>
      <c r="B248" s="62">
        <v>42</v>
      </c>
      <c r="C248" s="64"/>
      <c r="D248" s="3" t="s">
        <v>249</v>
      </c>
      <c r="E248" s="3"/>
      <c r="F248" s="3">
        <v>1</v>
      </c>
      <c r="G248" s="3"/>
      <c r="H248" s="3"/>
      <c r="I248" s="3"/>
      <c r="J248" s="3"/>
      <c r="K248" s="3"/>
      <c r="L248" s="3"/>
      <c r="M248" s="3">
        <v>1</v>
      </c>
      <c r="N248" s="3">
        <v>1</v>
      </c>
      <c r="O248" s="3"/>
      <c r="P248" s="3">
        <v>1</v>
      </c>
      <c r="Q248" s="3">
        <v>1</v>
      </c>
      <c r="R248" s="3"/>
      <c r="S248" s="3"/>
      <c r="T248" s="3">
        <v>1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>
        <v>1</v>
      </c>
      <c r="AG248" s="3">
        <v>1</v>
      </c>
      <c r="AH248" s="3">
        <v>1</v>
      </c>
      <c r="AI248" s="3"/>
      <c r="AJ248" s="3"/>
      <c r="AK248" s="3">
        <v>1</v>
      </c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 x14ac:dyDescent="0.3">
      <c r="A249" s="3" t="s">
        <v>337</v>
      </c>
      <c r="B249" s="62">
        <v>42</v>
      </c>
      <c r="C249" s="64"/>
      <c r="D249" s="3" t="s">
        <v>91</v>
      </c>
      <c r="E249" s="3">
        <v>1</v>
      </c>
      <c r="F249" s="3">
        <v>1</v>
      </c>
      <c r="G249" s="3"/>
      <c r="H249" s="3"/>
      <c r="I249" s="3">
        <v>1</v>
      </c>
      <c r="J249" s="3">
        <v>1</v>
      </c>
      <c r="K249" s="3">
        <v>1</v>
      </c>
      <c r="L249" s="3">
        <v>1</v>
      </c>
      <c r="M249" s="3">
        <v>1</v>
      </c>
      <c r="N249" s="3">
        <v>1</v>
      </c>
      <c r="O249" s="3"/>
      <c r="P249" s="3"/>
      <c r="Q249" s="3">
        <v>1</v>
      </c>
      <c r="R249" s="3">
        <v>1</v>
      </c>
      <c r="S249" s="3">
        <v>1</v>
      </c>
      <c r="T249" s="3">
        <v>1</v>
      </c>
      <c r="U249" s="3">
        <v>1</v>
      </c>
      <c r="V249" s="3">
        <v>1</v>
      </c>
      <c r="W249" s="3">
        <v>1</v>
      </c>
      <c r="X249" s="3">
        <v>1</v>
      </c>
      <c r="Y249" s="3">
        <v>1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  <c r="AF249" s="3">
        <v>1</v>
      </c>
      <c r="AG249" s="3">
        <v>1</v>
      </c>
      <c r="AH249" s="3">
        <v>1</v>
      </c>
      <c r="AI249" s="3">
        <v>1</v>
      </c>
      <c r="AJ249" s="3">
        <v>1</v>
      </c>
      <c r="AK249" s="3">
        <v>1</v>
      </c>
      <c r="AL249" s="3"/>
      <c r="AM249" s="3">
        <v>1</v>
      </c>
      <c r="AN249" s="3">
        <v>1</v>
      </c>
      <c r="AO249" s="3">
        <v>1</v>
      </c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 x14ac:dyDescent="0.3">
      <c r="A250" s="3" t="s">
        <v>337</v>
      </c>
      <c r="B250" s="62">
        <v>42</v>
      </c>
      <c r="C250" s="64"/>
      <c r="D250" s="3" t="s">
        <v>220</v>
      </c>
      <c r="E250" s="3">
        <v>1</v>
      </c>
      <c r="F250" s="3">
        <v>1</v>
      </c>
      <c r="G250" s="3"/>
      <c r="H250" s="3"/>
      <c r="I250" s="3">
        <v>1</v>
      </c>
      <c r="J250" s="3">
        <v>1</v>
      </c>
      <c r="K250" s="3">
        <v>1</v>
      </c>
      <c r="L250" s="3">
        <v>1</v>
      </c>
      <c r="M250" s="3">
        <v>1</v>
      </c>
      <c r="N250" s="3">
        <v>1</v>
      </c>
      <c r="O250" s="3"/>
      <c r="P250" s="3">
        <v>1</v>
      </c>
      <c r="Q250" s="3">
        <v>1</v>
      </c>
      <c r="R250" s="3">
        <v>1</v>
      </c>
      <c r="S250" s="3">
        <v>1</v>
      </c>
      <c r="T250" s="3">
        <v>1</v>
      </c>
      <c r="U250" s="3">
        <v>1</v>
      </c>
      <c r="V250" s="3"/>
      <c r="W250" s="3"/>
      <c r="X250" s="3">
        <v>1</v>
      </c>
      <c r="Y250" s="3">
        <v>1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  <c r="AF250" s="3">
        <v>1</v>
      </c>
      <c r="AG250" s="3">
        <v>1</v>
      </c>
      <c r="AH250" s="3">
        <v>1</v>
      </c>
      <c r="AI250" s="3">
        <v>1</v>
      </c>
      <c r="AJ250" s="3">
        <v>1</v>
      </c>
      <c r="AK250" s="3">
        <v>1</v>
      </c>
      <c r="AL250" s="3"/>
      <c r="AM250" s="3">
        <v>1</v>
      </c>
      <c r="AN250" s="3">
        <v>1</v>
      </c>
      <c r="AO250" s="3">
        <v>1</v>
      </c>
      <c r="AP250" s="3">
        <v>1</v>
      </c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 x14ac:dyDescent="0.3">
      <c r="A251" s="3" t="s">
        <v>337</v>
      </c>
      <c r="B251" s="62">
        <v>42</v>
      </c>
      <c r="C251" s="64"/>
      <c r="D251" s="3" t="s">
        <v>24</v>
      </c>
      <c r="E251" s="3"/>
      <c r="F251" s="3"/>
      <c r="G251" s="3"/>
      <c r="H251" s="3"/>
      <c r="I251" s="3"/>
      <c r="J251" s="3"/>
      <c r="K251" s="3"/>
      <c r="L251" s="3"/>
      <c r="M251" s="3">
        <v>1</v>
      </c>
      <c r="N251" s="3"/>
      <c r="O251" s="3"/>
      <c r="P251" s="3">
        <v>1</v>
      </c>
      <c r="Q251" s="3">
        <v>1</v>
      </c>
      <c r="R251" s="3"/>
      <c r="S251" s="3"/>
      <c r="T251" s="3"/>
      <c r="U251" s="3">
        <v>1</v>
      </c>
      <c r="V251" s="3">
        <v>1</v>
      </c>
      <c r="W251" s="3">
        <v>1</v>
      </c>
      <c r="X251" s="3">
        <v>1</v>
      </c>
      <c r="Y251" s="3">
        <v>1</v>
      </c>
      <c r="Z251" s="3">
        <v>1</v>
      </c>
      <c r="AA251" s="3"/>
      <c r="AB251" s="3">
        <v>1</v>
      </c>
      <c r="AC251" s="3">
        <v>1</v>
      </c>
      <c r="AD251" s="3"/>
      <c r="AE251" s="3">
        <v>1</v>
      </c>
      <c r="AF251" s="3">
        <v>1</v>
      </c>
      <c r="AG251" s="3">
        <v>1</v>
      </c>
      <c r="AH251" s="3">
        <v>1</v>
      </c>
      <c r="AI251" s="3">
        <v>1</v>
      </c>
      <c r="AJ251" s="3">
        <v>1</v>
      </c>
      <c r="AK251" s="3">
        <v>1</v>
      </c>
      <c r="AL251" s="3"/>
      <c r="AM251" s="3">
        <v>1</v>
      </c>
      <c r="AN251" s="3"/>
      <c r="AO251" s="3">
        <v>1</v>
      </c>
      <c r="AP251" s="3">
        <v>1</v>
      </c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 x14ac:dyDescent="0.3">
      <c r="A252" s="3" t="s">
        <v>337</v>
      </c>
      <c r="B252" s="62">
        <v>42</v>
      </c>
      <c r="C252" s="64"/>
      <c r="D252" s="3" t="s">
        <v>16</v>
      </c>
      <c r="E252" s="3">
        <v>1</v>
      </c>
      <c r="F252" s="3">
        <v>1</v>
      </c>
      <c r="G252" s="3"/>
      <c r="H252" s="3"/>
      <c r="I252" s="3">
        <v>1</v>
      </c>
      <c r="J252" s="3">
        <v>1</v>
      </c>
      <c r="K252" s="3">
        <v>1</v>
      </c>
      <c r="L252" s="3">
        <v>1</v>
      </c>
      <c r="M252" s="3">
        <v>1</v>
      </c>
      <c r="N252" s="3">
        <v>1</v>
      </c>
      <c r="O252" s="3"/>
      <c r="P252" s="3">
        <v>1</v>
      </c>
      <c r="Q252" s="3">
        <v>1</v>
      </c>
      <c r="R252" s="3">
        <v>1</v>
      </c>
      <c r="S252" s="3">
        <v>1</v>
      </c>
      <c r="T252" s="3">
        <v>1</v>
      </c>
      <c r="U252" s="3">
        <v>1</v>
      </c>
      <c r="V252" s="3">
        <v>1</v>
      </c>
      <c r="W252" s="3">
        <v>1</v>
      </c>
      <c r="X252" s="3">
        <v>1</v>
      </c>
      <c r="Y252" s="3">
        <v>1</v>
      </c>
      <c r="Z252" s="3">
        <v>1</v>
      </c>
      <c r="AA252" s="3">
        <v>1</v>
      </c>
      <c r="AB252" s="3">
        <v>1</v>
      </c>
      <c r="AC252" s="3"/>
      <c r="AD252" s="3">
        <v>1</v>
      </c>
      <c r="AE252" s="3">
        <v>1</v>
      </c>
      <c r="AF252" s="3">
        <v>1</v>
      </c>
      <c r="AG252" s="3">
        <v>1</v>
      </c>
      <c r="AH252" s="3">
        <v>1</v>
      </c>
      <c r="AI252" s="3">
        <v>1</v>
      </c>
      <c r="AJ252" s="3">
        <v>1</v>
      </c>
      <c r="AK252" s="3">
        <v>1</v>
      </c>
      <c r="AL252" s="3"/>
      <c r="AM252" s="3">
        <v>1</v>
      </c>
      <c r="AN252" s="3">
        <v>1</v>
      </c>
      <c r="AO252" s="3">
        <v>1</v>
      </c>
      <c r="AP252" s="3">
        <v>1</v>
      </c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 x14ac:dyDescent="0.3">
      <c r="A253" s="3" t="s">
        <v>337</v>
      </c>
      <c r="B253" s="62">
        <v>42</v>
      </c>
      <c r="C253" s="64"/>
      <c r="D253" s="3" t="s">
        <v>257</v>
      </c>
      <c r="E253" s="3">
        <v>1</v>
      </c>
      <c r="F253" s="3">
        <v>1</v>
      </c>
      <c r="G253" s="3"/>
      <c r="H253" s="3"/>
      <c r="I253" s="3">
        <v>1</v>
      </c>
      <c r="J253" s="3">
        <v>1</v>
      </c>
      <c r="K253" s="3"/>
      <c r="L253" s="3">
        <v>1</v>
      </c>
      <c r="M253" s="3">
        <v>1</v>
      </c>
      <c r="N253" s="3">
        <v>1</v>
      </c>
      <c r="O253" s="3"/>
      <c r="P253" s="3">
        <v>1</v>
      </c>
      <c r="Q253" s="3">
        <v>1</v>
      </c>
      <c r="R253" s="3">
        <v>1</v>
      </c>
      <c r="S253" s="3">
        <v>1</v>
      </c>
      <c r="T253" s="3">
        <v>1</v>
      </c>
      <c r="U253" s="3">
        <v>1</v>
      </c>
      <c r="V253" s="3">
        <v>1</v>
      </c>
      <c r="W253" s="3"/>
      <c r="X253" s="3">
        <v>1</v>
      </c>
      <c r="Y253" s="3"/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  <c r="AF253" s="3"/>
      <c r="AG253" s="3">
        <v>1</v>
      </c>
      <c r="AH253" s="3">
        <v>1</v>
      </c>
      <c r="AI253" s="3">
        <v>1</v>
      </c>
      <c r="AJ253" s="3">
        <v>1</v>
      </c>
      <c r="AK253" s="3">
        <v>1</v>
      </c>
      <c r="AL253" s="3"/>
      <c r="AM253" s="3">
        <v>1</v>
      </c>
      <c r="AN253" s="3">
        <v>1</v>
      </c>
      <c r="AO253" s="3">
        <v>1</v>
      </c>
      <c r="AP253" s="3">
        <v>1</v>
      </c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 x14ac:dyDescent="0.3">
      <c r="A254" s="3" t="s">
        <v>337</v>
      </c>
      <c r="B254" s="62">
        <v>42</v>
      </c>
      <c r="C254" s="64"/>
      <c r="D254" s="3" t="s">
        <v>159</v>
      </c>
      <c r="E254" s="3">
        <v>1</v>
      </c>
      <c r="F254" s="3">
        <v>1</v>
      </c>
      <c r="G254" s="3"/>
      <c r="H254" s="3"/>
      <c r="I254" s="3">
        <v>1</v>
      </c>
      <c r="J254" s="3"/>
      <c r="K254" s="3">
        <v>1</v>
      </c>
      <c r="L254" s="3">
        <v>1</v>
      </c>
      <c r="M254" s="3">
        <v>1</v>
      </c>
      <c r="N254" s="3"/>
      <c r="O254" s="3"/>
      <c r="P254" s="3">
        <v>1</v>
      </c>
      <c r="Q254" s="3"/>
      <c r="R254" s="3">
        <v>1</v>
      </c>
      <c r="S254" s="3">
        <v>1</v>
      </c>
      <c r="T254" s="3">
        <v>1</v>
      </c>
      <c r="U254" s="3"/>
      <c r="V254" s="3"/>
      <c r="W254" s="3"/>
      <c r="X254" s="3">
        <v>1</v>
      </c>
      <c r="Y254" s="3"/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  <c r="AF254" s="3">
        <v>1</v>
      </c>
      <c r="AG254" s="3"/>
      <c r="AH254" s="3">
        <v>1</v>
      </c>
      <c r="AI254" s="3">
        <v>1</v>
      </c>
      <c r="AJ254" s="3"/>
      <c r="AK254" s="3"/>
      <c r="AL254" s="3"/>
      <c r="AM254" s="3"/>
      <c r="AN254" s="3"/>
      <c r="AO254" s="3">
        <v>1</v>
      </c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 x14ac:dyDescent="0.3">
      <c r="A255" s="3" t="s">
        <v>337</v>
      </c>
      <c r="B255" s="62">
        <v>42</v>
      </c>
      <c r="C255" s="64"/>
      <c r="D255" s="3" t="s">
        <v>122</v>
      </c>
      <c r="E255" s="3">
        <v>1</v>
      </c>
      <c r="F255" s="3">
        <v>1</v>
      </c>
      <c r="G255" s="3"/>
      <c r="H255" s="3"/>
      <c r="I255" s="3">
        <v>1</v>
      </c>
      <c r="J255" s="3"/>
      <c r="K255" s="3">
        <v>1</v>
      </c>
      <c r="L255" s="3">
        <v>1</v>
      </c>
      <c r="M255" s="3">
        <v>1</v>
      </c>
      <c r="N255" s="3">
        <v>1</v>
      </c>
      <c r="O255" s="3"/>
      <c r="P255" s="3">
        <v>1</v>
      </c>
      <c r="Q255" s="3">
        <v>1</v>
      </c>
      <c r="R255" s="3">
        <v>1</v>
      </c>
      <c r="S255" s="3">
        <v>1</v>
      </c>
      <c r="T255" s="3"/>
      <c r="U255" s="3">
        <v>1</v>
      </c>
      <c r="V255" s="3">
        <v>1</v>
      </c>
      <c r="W255" s="3"/>
      <c r="X255" s="3"/>
      <c r="Y255" s="3"/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6" spans="1:57" x14ac:dyDescent="0.3">
      <c r="A256" s="3" t="s">
        <v>337</v>
      </c>
      <c r="B256" s="62">
        <v>42</v>
      </c>
      <c r="C256" s="64"/>
      <c r="D256" s="3" t="s">
        <v>68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</row>
    <row r="257" spans="1:57" x14ac:dyDescent="0.3">
      <c r="A257" s="3" t="s">
        <v>337</v>
      </c>
      <c r="B257" s="62">
        <v>42</v>
      </c>
      <c r="C257" s="64"/>
      <c r="D257" s="3" t="s">
        <v>140</v>
      </c>
      <c r="E257" s="3">
        <v>1</v>
      </c>
      <c r="F257" s="3">
        <v>1</v>
      </c>
      <c r="G257" s="3"/>
      <c r="H257" s="3"/>
      <c r="I257" s="3">
        <v>1</v>
      </c>
      <c r="J257" s="3">
        <v>1</v>
      </c>
      <c r="K257" s="3">
        <v>1</v>
      </c>
      <c r="L257" s="3">
        <v>1</v>
      </c>
      <c r="M257" s="3"/>
      <c r="N257" s="3"/>
      <c r="O257" s="3"/>
      <c r="P257" s="3"/>
      <c r="Q257" s="3"/>
      <c r="R257" s="3"/>
      <c r="S257" s="3">
        <v>1</v>
      </c>
      <c r="T257" s="3">
        <v>1</v>
      </c>
      <c r="U257" s="3"/>
      <c r="V257" s="3"/>
      <c r="W257" s="3"/>
      <c r="X257" s="3"/>
      <c r="Y257" s="3"/>
      <c r="Z257" s="3">
        <v>1</v>
      </c>
      <c r="AA257" s="3">
        <v>1</v>
      </c>
      <c r="AB257" s="3">
        <v>1</v>
      </c>
      <c r="AC257" s="3"/>
      <c r="AD257" s="3">
        <v>1</v>
      </c>
      <c r="AE257" s="3">
        <v>1</v>
      </c>
      <c r="AF257" s="3">
        <v>1</v>
      </c>
      <c r="AG257" s="3"/>
      <c r="AH257" s="3">
        <v>1</v>
      </c>
      <c r="AI257" s="3">
        <v>1</v>
      </c>
      <c r="AJ257" s="3"/>
      <c r="AK257" s="3"/>
      <c r="AL257" s="3"/>
      <c r="AM257" s="3"/>
      <c r="AN257" s="3"/>
      <c r="AO257" s="3">
        <v>1</v>
      </c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 x14ac:dyDescent="0.3">
      <c r="A258" s="3" t="s">
        <v>337</v>
      </c>
      <c r="B258" s="62">
        <v>42</v>
      </c>
      <c r="C258" s="64"/>
      <c r="D258" s="3" t="s">
        <v>53</v>
      </c>
      <c r="E258" s="3">
        <v>1</v>
      </c>
      <c r="F258" s="3">
        <v>1</v>
      </c>
      <c r="G258" s="3"/>
      <c r="H258" s="3"/>
      <c r="I258" s="3">
        <v>1</v>
      </c>
      <c r="J258" s="3">
        <v>1</v>
      </c>
      <c r="K258" s="3">
        <v>1</v>
      </c>
      <c r="L258" s="3">
        <v>1</v>
      </c>
      <c r="M258" s="3">
        <v>1</v>
      </c>
      <c r="N258" s="3">
        <v>1</v>
      </c>
      <c r="O258" s="3"/>
      <c r="P258" s="3">
        <v>1</v>
      </c>
      <c r="Q258" s="3">
        <v>1</v>
      </c>
      <c r="R258" s="3">
        <v>1</v>
      </c>
      <c r="S258" s="3">
        <v>1</v>
      </c>
      <c r="T258" s="3">
        <v>1</v>
      </c>
      <c r="U258" s="3">
        <v>1</v>
      </c>
      <c r="V258" s="3">
        <v>1</v>
      </c>
      <c r="W258" s="3">
        <v>1</v>
      </c>
      <c r="X258" s="3"/>
      <c r="Y258" s="3">
        <v>1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  <c r="AF258" s="3">
        <v>1</v>
      </c>
      <c r="AG258" s="3"/>
      <c r="AH258" s="3">
        <v>1</v>
      </c>
      <c r="AI258" s="3">
        <v>1</v>
      </c>
      <c r="AJ258" s="3">
        <v>1</v>
      </c>
      <c r="AK258" s="3">
        <v>1</v>
      </c>
      <c r="AL258" s="3"/>
      <c r="AM258" s="3">
        <v>1</v>
      </c>
      <c r="AN258" s="3">
        <v>1</v>
      </c>
      <c r="AO258" s="3">
        <v>1</v>
      </c>
      <c r="AP258" s="3">
        <v>1</v>
      </c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 x14ac:dyDescent="0.3">
      <c r="A259" s="3" t="s">
        <v>337</v>
      </c>
      <c r="B259" s="62">
        <v>42</v>
      </c>
      <c r="C259" s="64"/>
      <c r="D259" s="3" t="s">
        <v>151</v>
      </c>
      <c r="E259" s="3">
        <v>1</v>
      </c>
      <c r="F259" s="3">
        <v>1</v>
      </c>
      <c r="G259" s="3"/>
      <c r="H259" s="3"/>
      <c r="I259" s="3">
        <v>1</v>
      </c>
      <c r="J259" s="3">
        <v>1</v>
      </c>
      <c r="K259" s="3">
        <v>1</v>
      </c>
      <c r="L259" s="3">
        <v>1</v>
      </c>
      <c r="M259" s="3">
        <v>1</v>
      </c>
      <c r="N259" s="3">
        <v>1</v>
      </c>
      <c r="O259" s="3"/>
      <c r="P259" s="3"/>
      <c r="Q259" s="3">
        <v>1</v>
      </c>
      <c r="R259" s="3">
        <v>1</v>
      </c>
      <c r="S259" s="3">
        <v>1</v>
      </c>
      <c r="T259" s="3">
        <v>1</v>
      </c>
      <c r="U259" s="3">
        <v>1</v>
      </c>
      <c r="V259" s="3">
        <v>1</v>
      </c>
      <c r="W259" s="3">
        <v>1</v>
      </c>
      <c r="X259" s="3">
        <v>1</v>
      </c>
      <c r="Y259" s="3">
        <v>1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  <c r="AF259" s="3"/>
      <c r="AG259" s="3">
        <v>1</v>
      </c>
      <c r="AH259" s="3">
        <v>1</v>
      </c>
      <c r="AI259" s="3">
        <v>1</v>
      </c>
      <c r="AJ259" s="3"/>
      <c r="AK259" s="3">
        <v>1</v>
      </c>
      <c r="AL259" s="3"/>
      <c r="AM259" s="3">
        <v>1</v>
      </c>
      <c r="AN259" s="3">
        <v>1</v>
      </c>
      <c r="AO259" s="3">
        <v>1</v>
      </c>
      <c r="AP259" s="3">
        <v>1</v>
      </c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 x14ac:dyDescent="0.3">
      <c r="A260" s="3" t="s">
        <v>337</v>
      </c>
      <c r="B260" s="62">
        <v>42</v>
      </c>
      <c r="C260" s="64"/>
      <c r="D260" s="3" t="s">
        <v>131</v>
      </c>
      <c r="E260" s="3">
        <v>1</v>
      </c>
      <c r="F260" s="3">
        <v>1</v>
      </c>
      <c r="G260" s="3"/>
      <c r="H260" s="3"/>
      <c r="I260" s="3">
        <v>1</v>
      </c>
      <c r="J260" s="3">
        <v>1</v>
      </c>
      <c r="K260" s="3">
        <v>1</v>
      </c>
      <c r="L260" s="3">
        <v>1</v>
      </c>
      <c r="M260" s="3">
        <v>1</v>
      </c>
      <c r="N260" s="3">
        <v>1</v>
      </c>
      <c r="O260" s="3"/>
      <c r="P260" s="3">
        <v>1</v>
      </c>
      <c r="Q260" s="3">
        <v>1</v>
      </c>
      <c r="R260" s="3">
        <v>1</v>
      </c>
      <c r="S260" s="3">
        <v>1</v>
      </c>
      <c r="T260" s="3">
        <v>1</v>
      </c>
      <c r="U260" s="3">
        <v>1</v>
      </c>
      <c r="V260" s="3">
        <v>1</v>
      </c>
      <c r="W260" s="3">
        <v>1</v>
      </c>
      <c r="X260" s="3">
        <v>1</v>
      </c>
      <c r="Y260" s="3">
        <v>1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  <c r="AF260" s="3">
        <v>1</v>
      </c>
      <c r="AG260" s="3">
        <v>1</v>
      </c>
      <c r="AH260" s="3">
        <v>1</v>
      </c>
      <c r="AI260" s="3">
        <v>1</v>
      </c>
      <c r="AJ260" s="3">
        <v>1</v>
      </c>
      <c r="AK260" s="3">
        <v>1</v>
      </c>
      <c r="AL260" s="3"/>
      <c r="AM260" s="3">
        <v>1</v>
      </c>
      <c r="AN260" s="3">
        <v>1</v>
      </c>
      <c r="AO260" s="3">
        <v>1</v>
      </c>
      <c r="AP260" s="3">
        <v>1</v>
      </c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 x14ac:dyDescent="0.3">
      <c r="A261" s="3" t="s">
        <v>337</v>
      </c>
      <c r="B261" s="62">
        <v>42</v>
      </c>
      <c r="C261" s="64"/>
      <c r="D261" s="3" t="s">
        <v>197</v>
      </c>
      <c r="E261" s="3"/>
      <c r="F261" s="3"/>
      <c r="G261" s="3"/>
      <c r="H261" s="3"/>
      <c r="I261" s="3">
        <v>1</v>
      </c>
      <c r="J261" s="3">
        <v>1</v>
      </c>
      <c r="K261" s="3"/>
      <c r="L261" s="3">
        <v>1</v>
      </c>
      <c r="M261" s="3">
        <v>1</v>
      </c>
      <c r="N261" s="3">
        <v>1</v>
      </c>
      <c r="O261" s="3"/>
      <c r="P261" s="3"/>
      <c r="Q261" s="3"/>
      <c r="R261" s="3">
        <v>1</v>
      </c>
      <c r="S261" s="3"/>
      <c r="T261" s="3"/>
      <c r="U261" s="3"/>
      <c r="V261" s="3"/>
      <c r="W261" s="3"/>
      <c r="X261" s="3">
        <v>1</v>
      </c>
      <c r="Y261" s="3">
        <v>1</v>
      </c>
      <c r="Z261" s="3"/>
      <c r="AA261" s="3"/>
      <c r="AB261" s="3"/>
      <c r="AC261" s="3">
        <v>1</v>
      </c>
      <c r="AD261" s="3">
        <v>1</v>
      </c>
      <c r="AE261" s="3"/>
      <c r="AF261" s="3">
        <v>1</v>
      </c>
      <c r="AG261" s="3"/>
      <c r="AH261" s="3"/>
      <c r="AI261" s="3">
        <v>1</v>
      </c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 x14ac:dyDescent="0.3">
      <c r="A262" s="3" t="s">
        <v>337</v>
      </c>
      <c r="B262" s="62">
        <v>42</v>
      </c>
      <c r="C262" s="64"/>
      <c r="D262" s="3" t="s">
        <v>77</v>
      </c>
      <c r="E262" s="3">
        <v>1</v>
      </c>
      <c r="F262" s="3">
        <v>1</v>
      </c>
      <c r="G262" s="3"/>
      <c r="H262" s="3"/>
      <c r="I262" s="3">
        <v>1</v>
      </c>
      <c r="J262" s="3">
        <v>1</v>
      </c>
      <c r="K262" s="3">
        <v>1</v>
      </c>
      <c r="L262" s="3">
        <v>1</v>
      </c>
      <c r="M262" s="3">
        <v>1</v>
      </c>
      <c r="N262" s="3">
        <v>1</v>
      </c>
      <c r="O262" s="3"/>
      <c r="P262" s="3">
        <v>1</v>
      </c>
      <c r="Q262" s="3">
        <v>1</v>
      </c>
      <c r="R262" s="3">
        <v>1</v>
      </c>
      <c r="S262" s="3">
        <v>1</v>
      </c>
      <c r="T262" s="3">
        <v>1</v>
      </c>
      <c r="U262" s="3">
        <v>1</v>
      </c>
      <c r="V262" s="3"/>
      <c r="W262" s="3"/>
      <c r="X262" s="3">
        <v>1</v>
      </c>
      <c r="Y262" s="3">
        <v>1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  <c r="AF262" s="3">
        <v>1</v>
      </c>
      <c r="AG262" s="3"/>
      <c r="AH262" s="3">
        <v>1</v>
      </c>
      <c r="AI262" s="3">
        <v>1</v>
      </c>
      <c r="AJ262" s="3">
        <v>1</v>
      </c>
      <c r="AK262" s="3">
        <v>1</v>
      </c>
      <c r="AL262" s="3"/>
      <c r="AM262" s="3">
        <v>1</v>
      </c>
      <c r="AN262" s="3">
        <v>1</v>
      </c>
      <c r="AO262" s="3">
        <v>1</v>
      </c>
      <c r="AP262" s="3">
        <v>1</v>
      </c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 x14ac:dyDescent="0.3">
      <c r="A263" s="3" t="s">
        <v>337</v>
      </c>
      <c r="B263" s="62">
        <v>42</v>
      </c>
      <c r="C263" s="64"/>
      <c r="D263" s="3" t="s">
        <v>242</v>
      </c>
      <c r="E263" s="3">
        <v>1</v>
      </c>
      <c r="F263" s="3">
        <v>1</v>
      </c>
      <c r="G263" s="3"/>
      <c r="H263" s="3"/>
      <c r="I263" s="3">
        <v>1</v>
      </c>
      <c r="J263" s="3">
        <v>1</v>
      </c>
      <c r="K263" s="3">
        <v>1</v>
      </c>
      <c r="L263" s="3">
        <v>1</v>
      </c>
      <c r="M263" s="3">
        <v>1</v>
      </c>
      <c r="N263" s="3"/>
      <c r="O263" s="3"/>
      <c r="P263" s="3">
        <v>1</v>
      </c>
      <c r="Q263" s="3">
        <v>1</v>
      </c>
      <c r="R263" s="3">
        <v>1</v>
      </c>
      <c r="S263" s="3">
        <v>1</v>
      </c>
      <c r="T263" s="3">
        <v>1</v>
      </c>
      <c r="U263" s="3">
        <v>1</v>
      </c>
      <c r="V263" s="3">
        <v>1</v>
      </c>
      <c r="W263" s="3">
        <v>1</v>
      </c>
      <c r="X263" s="3">
        <v>1</v>
      </c>
      <c r="Y263" s="3">
        <v>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  <c r="AF263" s="3">
        <v>1</v>
      </c>
      <c r="AG263" s="3">
        <v>1</v>
      </c>
      <c r="AH263" s="3">
        <v>1</v>
      </c>
      <c r="AI263" s="3">
        <v>1</v>
      </c>
      <c r="AJ263" s="3">
        <v>1</v>
      </c>
      <c r="AK263" s="3">
        <v>1</v>
      </c>
      <c r="AL263" s="3"/>
      <c r="AM263" s="3">
        <v>1</v>
      </c>
      <c r="AN263" s="3">
        <v>1</v>
      </c>
      <c r="AO263" s="3">
        <v>1</v>
      </c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 x14ac:dyDescent="0.3">
      <c r="A264" s="3" t="s">
        <v>337</v>
      </c>
      <c r="B264" s="62">
        <v>42</v>
      </c>
      <c r="C264" s="64"/>
      <c r="D264" s="3" t="s">
        <v>328</v>
      </c>
      <c r="E264" s="3">
        <v>1</v>
      </c>
      <c r="F264" s="3">
        <v>1</v>
      </c>
      <c r="G264" s="3"/>
      <c r="H264" s="3"/>
      <c r="I264" s="3">
        <v>1</v>
      </c>
      <c r="J264" s="3">
        <v>1</v>
      </c>
      <c r="K264" s="3">
        <v>1</v>
      </c>
      <c r="L264" s="3">
        <v>1</v>
      </c>
      <c r="M264" s="3">
        <v>1</v>
      </c>
      <c r="N264" s="3">
        <v>1</v>
      </c>
      <c r="O264" s="3"/>
      <c r="P264" s="3">
        <v>1</v>
      </c>
      <c r="Q264" s="3">
        <v>1</v>
      </c>
      <c r="R264" s="3">
        <v>1</v>
      </c>
      <c r="S264" s="3"/>
      <c r="T264" s="3">
        <v>1</v>
      </c>
      <c r="U264" s="3">
        <v>1</v>
      </c>
      <c r="V264" s="3">
        <v>1</v>
      </c>
      <c r="W264" s="3">
        <v>1</v>
      </c>
      <c r="X264" s="3">
        <v>1</v>
      </c>
      <c r="Y264" s="3">
        <v>1</v>
      </c>
      <c r="Z264" s="3"/>
      <c r="AA264" s="3">
        <v>1</v>
      </c>
      <c r="AB264" s="3">
        <v>1</v>
      </c>
      <c r="AC264" s="3">
        <v>1</v>
      </c>
      <c r="AD264" s="3">
        <v>1</v>
      </c>
      <c r="AE264" s="3">
        <v>1</v>
      </c>
      <c r="AF264" s="3">
        <v>1</v>
      </c>
      <c r="AG264" s="3">
        <v>1</v>
      </c>
      <c r="AH264" s="3">
        <v>1</v>
      </c>
      <c r="AI264" s="3">
        <v>1</v>
      </c>
      <c r="AJ264" s="3">
        <v>1</v>
      </c>
      <c r="AK264" s="3">
        <v>1</v>
      </c>
      <c r="AL264" s="3"/>
      <c r="AM264" s="3">
        <v>1</v>
      </c>
      <c r="AN264" s="3">
        <v>1</v>
      </c>
      <c r="AO264" s="3">
        <v>1</v>
      </c>
      <c r="AP264" s="3">
        <v>1</v>
      </c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 x14ac:dyDescent="0.3">
      <c r="A265" s="3" t="s">
        <v>337</v>
      </c>
      <c r="B265" s="62">
        <v>42</v>
      </c>
      <c r="C265" s="64"/>
      <c r="D265" s="25" t="s">
        <v>296</v>
      </c>
      <c r="E265" s="3">
        <v>1</v>
      </c>
      <c r="F265" s="3">
        <v>1</v>
      </c>
      <c r="G265" s="3"/>
      <c r="H265" s="3"/>
      <c r="I265" s="3">
        <v>1</v>
      </c>
      <c r="J265" s="3">
        <v>1</v>
      </c>
      <c r="K265" s="3">
        <v>1</v>
      </c>
      <c r="L265" s="3">
        <v>1</v>
      </c>
      <c r="M265" s="3">
        <v>1</v>
      </c>
      <c r="N265" s="3">
        <v>1</v>
      </c>
      <c r="O265" s="3"/>
      <c r="P265" s="3">
        <v>1</v>
      </c>
      <c r="Q265" s="3">
        <v>1</v>
      </c>
      <c r="R265" s="3">
        <v>1</v>
      </c>
      <c r="S265" s="3">
        <v>1</v>
      </c>
      <c r="T265" s="3">
        <v>1</v>
      </c>
      <c r="U265" s="3">
        <v>1</v>
      </c>
      <c r="V265" s="3"/>
      <c r="W265" s="3"/>
      <c r="X265" s="3">
        <v>1</v>
      </c>
      <c r="Y265" s="3">
        <v>1</v>
      </c>
      <c r="Z265" s="3"/>
      <c r="AA265" s="3">
        <v>1</v>
      </c>
      <c r="AB265" s="3">
        <v>1</v>
      </c>
      <c r="AC265" s="3">
        <v>1</v>
      </c>
      <c r="AD265" s="3">
        <v>1</v>
      </c>
      <c r="AE265" s="3">
        <v>1</v>
      </c>
      <c r="AF265" s="3">
        <v>1</v>
      </c>
      <c r="AG265" s="3">
        <v>1</v>
      </c>
      <c r="AH265" s="3">
        <v>1</v>
      </c>
      <c r="AI265" s="3">
        <v>1</v>
      </c>
      <c r="AJ265" s="3">
        <v>1</v>
      </c>
      <c r="AK265" s="3">
        <v>1</v>
      </c>
      <c r="AL265" s="3"/>
      <c r="AM265" s="3">
        <v>1</v>
      </c>
      <c r="AN265" s="3">
        <v>1</v>
      </c>
      <c r="AO265" s="3">
        <v>1</v>
      </c>
      <c r="AP265" s="3">
        <v>1</v>
      </c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 x14ac:dyDescent="0.3">
      <c r="A266" s="3" t="s">
        <v>337</v>
      </c>
      <c r="B266" s="62">
        <v>43</v>
      </c>
      <c r="C266" s="64"/>
      <c r="D266" s="3" t="s">
        <v>70</v>
      </c>
      <c r="E266" s="3">
        <v>1</v>
      </c>
      <c r="F266" s="3">
        <v>1</v>
      </c>
      <c r="G266" s="3"/>
      <c r="H266" s="3"/>
      <c r="I266" s="3">
        <v>1</v>
      </c>
      <c r="J266" s="3">
        <v>1</v>
      </c>
      <c r="K266" s="3">
        <v>1</v>
      </c>
      <c r="L266" s="3">
        <v>1</v>
      </c>
      <c r="M266" s="3">
        <v>1</v>
      </c>
      <c r="N266" s="3">
        <v>1</v>
      </c>
      <c r="O266" s="3"/>
      <c r="P266" s="3">
        <v>1</v>
      </c>
      <c r="Q266" s="3">
        <v>1</v>
      </c>
      <c r="R266" s="3">
        <v>1</v>
      </c>
      <c r="S266" s="3">
        <v>1</v>
      </c>
      <c r="T266" s="3">
        <v>1</v>
      </c>
      <c r="U266" s="3">
        <v>1</v>
      </c>
      <c r="V266" s="3">
        <v>1</v>
      </c>
      <c r="W266" s="3">
        <v>1</v>
      </c>
      <c r="X266" s="3">
        <v>1</v>
      </c>
      <c r="Y266" s="3">
        <v>1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  <c r="AF266" s="3">
        <v>1</v>
      </c>
      <c r="AG266" s="3">
        <v>1</v>
      </c>
      <c r="AH266" s="3">
        <v>1</v>
      </c>
      <c r="AI266" s="3">
        <v>1</v>
      </c>
      <c r="AJ266" s="3">
        <v>1</v>
      </c>
      <c r="AK266" s="3">
        <v>1</v>
      </c>
      <c r="AL266" s="3"/>
      <c r="AM266" s="3">
        <v>1</v>
      </c>
      <c r="AN266" s="3">
        <v>1</v>
      </c>
      <c r="AO266" s="3">
        <v>1</v>
      </c>
      <c r="AP266" s="3">
        <v>1</v>
      </c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 x14ac:dyDescent="0.3">
      <c r="A267" s="3" t="s">
        <v>337</v>
      </c>
      <c r="B267" s="62">
        <v>43</v>
      </c>
      <c r="C267" s="64"/>
      <c r="D267" s="3" t="s">
        <v>75</v>
      </c>
      <c r="E267" s="3">
        <v>1</v>
      </c>
      <c r="F267" s="3">
        <v>1</v>
      </c>
      <c r="G267" s="3"/>
      <c r="H267" s="3"/>
      <c r="I267" s="3">
        <v>1</v>
      </c>
      <c r="J267" s="3">
        <v>1</v>
      </c>
      <c r="K267" s="3">
        <v>1</v>
      </c>
      <c r="L267" s="3">
        <v>1</v>
      </c>
      <c r="M267" s="3">
        <v>1</v>
      </c>
      <c r="N267" s="3">
        <v>1</v>
      </c>
      <c r="O267" s="3"/>
      <c r="P267" s="3">
        <v>1</v>
      </c>
      <c r="Q267" s="3">
        <v>1</v>
      </c>
      <c r="R267" s="3">
        <v>1</v>
      </c>
      <c r="S267" s="3">
        <v>1</v>
      </c>
      <c r="T267" s="3">
        <v>1</v>
      </c>
      <c r="U267" s="3">
        <v>1</v>
      </c>
      <c r="V267" s="3">
        <v>1</v>
      </c>
      <c r="W267" s="3">
        <v>1</v>
      </c>
      <c r="X267" s="3">
        <v>1</v>
      </c>
      <c r="Y267" s="3">
        <v>1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  <c r="AF267" s="3">
        <v>1</v>
      </c>
      <c r="AG267" s="3">
        <v>1</v>
      </c>
      <c r="AH267" s="3">
        <v>1</v>
      </c>
      <c r="AI267" s="3">
        <v>1</v>
      </c>
      <c r="AJ267" s="3"/>
      <c r="AK267" s="3">
        <v>1</v>
      </c>
      <c r="AL267" s="3"/>
      <c r="AM267" s="3">
        <v>1</v>
      </c>
      <c r="AN267" s="3">
        <v>1</v>
      </c>
      <c r="AO267" s="3">
        <v>1</v>
      </c>
      <c r="AP267" s="3">
        <v>1</v>
      </c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 x14ac:dyDescent="0.3">
      <c r="A268" s="3" t="s">
        <v>337</v>
      </c>
      <c r="B268" s="62">
        <v>43</v>
      </c>
      <c r="C268" s="64"/>
      <c r="D268" s="3" t="s">
        <v>329</v>
      </c>
      <c r="E268" s="3"/>
      <c r="F268" s="3">
        <v>1</v>
      </c>
      <c r="G268" s="3"/>
      <c r="H268" s="3"/>
      <c r="I268" s="3">
        <v>1</v>
      </c>
      <c r="J268" s="3">
        <v>1</v>
      </c>
      <c r="K268" s="3">
        <v>1</v>
      </c>
      <c r="L268" s="3">
        <v>1</v>
      </c>
      <c r="M268" s="3">
        <v>1</v>
      </c>
      <c r="N268" s="3">
        <v>1</v>
      </c>
      <c r="O268" s="3"/>
      <c r="P268" s="3">
        <v>1</v>
      </c>
      <c r="Q268" s="3">
        <v>1</v>
      </c>
      <c r="R268" s="3">
        <v>1</v>
      </c>
      <c r="S268" s="3">
        <v>1</v>
      </c>
      <c r="T268" s="3">
        <v>1</v>
      </c>
      <c r="U268" s="3">
        <v>1</v>
      </c>
      <c r="V268" s="3">
        <v>1</v>
      </c>
      <c r="W268" s="3">
        <v>1</v>
      </c>
      <c r="X268" s="3">
        <v>1</v>
      </c>
      <c r="Y268" s="3">
        <v>1</v>
      </c>
      <c r="Z268" s="3"/>
      <c r="AA268" s="3">
        <v>1</v>
      </c>
      <c r="AB268" s="3">
        <v>1</v>
      </c>
      <c r="AC268" s="3">
        <v>1</v>
      </c>
      <c r="AD268" s="3">
        <v>1</v>
      </c>
      <c r="AE268" s="3">
        <v>1</v>
      </c>
      <c r="AF268" s="3">
        <v>1</v>
      </c>
      <c r="AG268" s="3">
        <v>1</v>
      </c>
      <c r="AH268" s="3">
        <v>1</v>
      </c>
      <c r="AI268" s="3">
        <v>1</v>
      </c>
      <c r="AJ268" s="3">
        <v>1</v>
      </c>
      <c r="AK268" s="3">
        <v>1</v>
      </c>
      <c r="AL268" s="3"/>
      <c r="AM268" s="3">
        <v>1</v>
      </c>
      <c r="AN268" s="3">
        <v>1</v>
      </c>
      <c r="AO268" s="3">
        <v>1</v>
      </c>
      <c r="AP268" s="3">
        <v>1</v>
      </c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 x14ac:dyDescent="0.3">
      <c r="A269" s="3" t="s">
        <v>337</v>
      </c>
      <c r="B269" s="62">
        <v>43</v>
      </c>
      <c r="C269" s="64"/>
      <c r="D269" s="3" t="s">
        <v>112</v>
      </c>
      <c r="E269" s="3">
        <v>1</v>
      </c>
      <c r="F269" s="3">
        <v>1</v>
      </c>
      <c r="G269" s="3"/>
      <c r="H269" s="3"/>
      <c r="I269" s="3">
        <v>1</v>
      </c>
      <c r="J269" s="3">
        <v>1</v>
      </c>
      <c r="K269" s="3">
        <v>1</v>
      </c>
      <c r="L269" s="3">
        <v>1</v>
      </c>
      <c r="M269" s="3">
        <v>1</v>
      </c>
      <c r="N269" s="3">
        <v>1</v>
      </c>
      <c r="O269" s="3"/>
      <c r="P269" s="3">
        <v>1</v>
      </c>
      <c r="Q269" s="3">
        <v>1</v>
      </c>
      <c r="R269" s="3">
        <v>1</v>
      </c>
      <c r="S269" s="3">
        <v>1</v>
      </c>
      <c r="T269" s="3">
        <v>1</v>
      </c>
      <c r="U269" s="3">
        <v>1</v>
      </c>
      <c r="V269" s="3">
        <v>1</v>
      </c>
      <c r="W269" s="3">
        <v>1</v>
      </c>
      <c r="X269" s="3">
        <v>1</v>
      </c>
      <c r="Y269" s="3">
        <v>1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  <c r="AF269" s="3">
        <v>1</v>
      </c>
      <c r="AG269" s="3">
        <v>1</v>
      </c>
      <c r="AH269" s="3">
        <v>1</v>
      </c>
      <c r="AI269" s="3">
        <v>1</v>
      </c>
      <c r="AJ269" s="3">
        <v>1</v>
      </c>
      <c r="AK269" s="3">
        <v>1</v>
      </c>
      <c r="AL269" s="3"/>
      <c r="AM269" s="3">
        <v>1</v>
      </c>
      <c r="AN269" s="3">
        <v>1</v>
      </c>
      <c r="AO269" s="3">
        <v>1</v>
      </c>
      <c r="AP269" s="3">
        <v>1</v>
      </c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 x14ac:dyDescent="0.3">
      <c r="A270" s="3" t="s">
        <v>337</v>
      </c>
      <c r="B270" s="62">
        <v>43</v>
      </c>
      <c r="C270" s="64"/>
      <c r="D270" s="3" t="s">
        <v>64</v>
      </c>
      <c r="E270" s="3">
        <v>1</v>
      </c>
      <c r="F270" s="3">
        <v>1</v>
      </c>
      <c r="G270" s="3"/>
      <c r="H270" s="3"/>
      <c r="I270" s="3">
        <v>1</v>
      </c>
      <c r="J270" s="3"/>
      <c r="K270" s="3"/>
      <c r="L270" s="3">
        <v>1</v>
      </c>
      <c r="M270" s="3">
        <v>1</v>
      </c>
      <c r="N270" s="3"/>
      <c r="O270" s="3"/>
      <c r="P270" s="3">
        <v>1</v>
      </c>
      <c r="Q270" s="3"/>
      <c r="R270" s="3">
        <v>1</v>
      </c>
      <c r="S270" s="3">
        <v>1</v>
      </c>
      <c r="T270" s="3">
        <v>1</v>
      </c>
      <c r="U270" s="3">
        <v>1</v>
      </c>
      <c r="V270" s="3">
        <v>1</v>
      </c>
      <c r="W270" s="3"/>
      <c r="X270" s="3">
        <v>1</v>
      </c>
      <c r="Y270" s="3">
        <v>1</v>
      </c>
      <c r="Z270" s="3">
        <v>1</v>
      </c>
      <c r="AA270" s="3"/>
      <c r="AB270" s="3">
        <v>1</v>
      </c>
      <c r="AC270" s="3"/>
      <c r="AD270" s="3"/>
      <c r="AE270" s="3">
        <v>1</v>
      </c>
      <c r="AF270" s="3"/>
      <c r="AG270" s="3">
        <v>1</v>
      </c>
      <c r="AH270" s="3">
        <v>1</v>
      </c>
      <c r="AI270" s="3"/>
      <c r="AJ270" s="3"/>
      <c r="AK270" s="3"/>
      <c r="AL270" s="3"/>
      <c r="AM270" s="3">
        <v>1</v>
      </c>
      <c r="AN270" s="3"/>
      <c r="AO270" s="3">
        <v>1</v>
      </c>
      <c r="AP270" s="3">
        <v>1</v>
      </c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 x14ac:dyDescent="0.3">
      <c r="A271" s="3" t="s">
        <v>337</v>
      </c>
      <c r="B271" s="62">
        <v>43</v>
      </c>
      <c r="C271" s="64"/>
      <c r="D271" s="3" t="s">
        <v>213</v>
      </c>
      <c r="E271" s="3">
        <v>1</v>
      </c>
      <c r="F271" s="3">
        <v>1</v>
      </c>
      <c r="G271" s="3"/>
      <c r="H271" s="3"/>
      <c r="I271" s="3">
        <v>1</v>
      </c>
      <c r="J271" s="3">
        <v>1</v>
      </c>
      <c r="K271" s="3"/>
      <c r="L271" s="3">
        <v>1</v>
      </c>
      <c r="M271" s="3">
        <v>1</v>
      </c>
      <c r="N271" s="3">
        <v>1</v>
      </c>
      <c r="O271" s="3"/>
      <c r="P271" s="3">
        <v>1</v>
      </c>
      <c r="Q271" s="3">
        <v>1</v>
      </c>
      <c r="R271" s="3"/>
      <c r="S271" s="3">
        <v>1</v>
      </c>
      <c r="T271" s="3"/>
      <c r="U271" s="3">
        <v>1</v>
      </c>
      <c r="V271" s="3">
        <v>1</v>
      </c>
      <c r="W271" s="3">
        <v>1</v>
      </c>
      <c r="X271" s="3">
        <v>1</v>
      </c>
      <c r="Y271" s="3">
        <v>1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  <c r="AF271" s="3">
        <v>1</v>
      </c>
      <c r="AG271" s="3"/>
      <c r="AH271" s="3">
        <v>1</v>
      </c>
      <c r="AI271" s="3"/>
      <c r="AJ271" s="3">
        <v>1</v>
      </c>
      <c r="AK271" s="3">
        <v>1</v>
      </c>
      <c r="AL271" s="3"/>
      <c r="AM271" s="3">
        <v>1</v>
      </c>
      <c r="AN271" s="3">
        <v>1</v>
      </c>
      <c r="AO271" s="3">
        <v>1</v>
      </c>
      <c r="AP271" s="3">
        <v>1</v>
      </c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2" spans="1:57" x14ac:dyDescent="0.3">
      <c r="A272" s="3" t="s">
        <v>337</v>
      </c>
      <c r="B272" s="62">
        <v>43</v>
      </c>
      <c r="C272" s="64"/>
      <c r="D272" s="3" t="s">
        <v>206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>
        <v>1</v>
      </c>
      <c r="Q272" s="3">
        <v>1</v>
      </c>
      <c r="R272" s="3">
        <v>1</v>
      </c>
      <c r="S272" s="3">
        <v>1</v>
      </c>
      <c r="T272" s="3">
        <v>1</v>
      </c>
      <c r="U272" s="3"/>
      <c r="V272" s="3">
        <v>1</v>
      </c>
      <c r="W272" s="3">
        <v>1</v>
      </c>
      <c r="X272" s="3">
        <v>1</v>
      </c>
      <c r="Y272" s="3">
        <v>1</v>
      </c>
      <c r="Z272" s="3"/>
      <c r="AA272" s="3"/>
      <c r="AB272" s="3">
        <v>1</v>
      </c>
      <c r="AC272" s="3">
        <v>1</v>
      </c>
      <c r="AD272" s="3">
        <v>1</v>
      </c>
      <c r="AE272" s="3">
        <v>1</v>
      </c>
      <c r="AF272" s="3">
        <v>1</v>
      </c>
      <c r="AG272" s="3">
        <v>1</v>
      </c>
      <c r="AH272" s="3"/>
      <c r="AI272" s="3"/>
      <c r="AJ272" s="3"/>
      <c r="AK272" s="3">
        <v>1</v>
      </c>
      <c r="AL272" s="3"/>
      <c r="AM272" s="3">
        <v>1</v>
      </c>
      <c r="AN272" s="3">
        <v>1</v>
      </c>
      <c r="AO272" s="3"/>
      <c r="AP272" s="3">
        <v>1</v>
      </c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</row>
    <row r="273" spans="1:57" x14ac:dyDescent="0.3">
      <c r="A273" s="3" t="s">
        <v>337</v>
      </c>
      <c r="B273" s="62">
        <v>43</v>
      </c>
      <c r="C273" s="64"/>
      <c r="D273" s="3" t="s">
        <v>71</v>
      </c>
      <c r="E273" s="3">
        <v>1</v>
      </c>
      <c r="F273" s="3">
        <v>1</v>
      </c>
      <c r="G273" s="3"/>
      <c r="H273" s="3"/>
      <c r="I273" s="3">
        <v>1</v>
      </c>
      <c r="J273" s="3">
        <v>1</v>
      </c>
      <c r="K273" s="3">
        <v>1</v>
      </c>
      <c r="L273" s="3">
        <v>1</v>
      </c>
      <c r="M273" s="3">
        <v>1</v>
      </c>
      <c r="N273" s="3">
        <v>1</v>
      </c>
      <c r="O273" s="3"/>
      <c r="P273" s="3">
        <v>1</v>
      </c>
      <c r="Q273" s="3">
        <v>1</v>
      </c>
      <c r="R273" s="3">
        <v>1</v>
      </c>
      <c r="S273" s="3">
        <v>1</v>
      </c>
      <c r="T273" s="3">
        <v>1</v>
      </c>
      <c r="U273" s="3">
        <v>1</v>
      </c>
      <c r="V273" s="3">
        <v>1</v>
      </c>
      <c r="W273" s="3">
        <v>1</v>
      </c>
      <c r="X273" s="3">
        <v>1</v>
      </c>
      <c r="Y273" s="3">
        <v>1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  <c r="AF273" s="3">
        <v>1</v>
      </c>
      <c r="AG273" s="3">
        <v>1</v>
      </c>
      <c r="AH273" s="3">
        <v>1</v>
      </c>
      <c r="AI273" s="3">
        <v>1</v>
      </c>
      <c r="AJ273" s="3">
        <v>1</v>
      </c>
      <c r="AK273" s="3">
        <v>1</v>
      </c>
      <c r="AL273" s="3"/>
      <c r="AM273" s="3">
        <v>1</v>
      </c>
      <c r="AN273" s="3">
        <v>1</v>
      </c>
      <c r="AO273" s="3">
        <v>1</v>
      </c>
      <c r="AP273" s="3">
        <v>1</v>
      </c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</row>
    <row r="274" spans="1:57" x14ac:dyDescent="0.3">
      <c r="A274" s="3" t="s">
        <v>337</v>
      </c>
      <c r="B274" s="62">
        <v>43</v>
      </c>
      <c r="C274" s="64"/>
      <c r="D274" s="3" t="s">
        <v>287</v>
      </c>
      <c r="E274" s="3">
        <v>1</v>
      </c>
      <c r="F274" s="3">
        <v>1</v>
      </c>
      <c r="G274" s="3"/>
      <c r="H274" s="3"/>
      <c r="I274" s="3">
        <v>1</v>
      </c>
      <c r="J274" s="3">
        <v>1</v>
      </c>
      <c r="K274" s="3">
        <v>1</v>
      </c>
      <c r="L274" s="3">
        <v>1</v>
      </c>
      <c r="M274" s="3">
        <v>1</v>
      </c>
      <c r="N274" s="3">
        <v>1</v>
      </c>
      <c r="O274" s="3"/>
      <c r="P274" s="3">
        <v>1</v>
      </c>
      <c r="Q274" s="3">
        <v>1</v>
      </c>
      <c r="R274" s="3">
        <v>1</v>
      </c>
      <c r="S274" s="3">
        <v>1</v>
      </c>
      <c r="T274" s="3">
        <v>1</v>
      </c>
      <c r="U274" s="3">
        <v>1</v>
      </c>
      <c r="V274" s="3">
        <v>1</v>
      </c>
      <c r="W274" s="3">
        <v>1</v>
      </c>
      <c r="X274" s="3">
        <v>1</v>
      </c>
      <c r="Y274" s="3">
        <v>1</v>
      </c>
      <c r="Z274" s="3">
        <v>1</v>
      </c>
      <c r="AA274" s="3"/>
      <c r="AB274" s="3">
        <v>1</v>
      </c>
      <c r="AC274" s="3">
        <v>1</v>
      </c>
      <c r="AD274" s="3">
        <v>1</v>
      </c>
      <c r="AE274" s="3">
        <v>1</v>
      </c>
      <c r="AF274" s="3">
        <v>1</v>
      </c>
      <c r="AG274" s="3">
        <v>1</v>
      </c>
      <c r="AH274" s="3">
        <v>1</v>
      </c>
      <c r="AI274" s="3">
        <v>1</v>
      </c>
      <c r="AJ274" s="3">
        <v>1</v>
      </c>
      <c r="AK274" s="3">
        <v>1</v>
      </c>
      <c r="AL274" s="3"/>
      <c r="AM274" s="3">
        <v>1</v>
      </c>
      <c r="AN274" s="3">
        <v>1</v>
      </c>
      <c r="AO274" s="3">
        <v>1</v>
      </c>
      <c r="AP274" s="3">
        <v>1</v>
      </c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 x14ac:dyDescent="0.3">
      <c r="A275" s="3" t="s">
        <v>337</v>
      </c>
      <c r="B275" s="62">
        <v>43</v>
      </c>
      <c r="C275" s="64"/>
      <c r="D275" s="3" t="s">
        <v>330</v>
      </c>
      <c r="E275" s="3"/>
      <c r="F275" s="3">
        <v>1</v>
      </c>
      <c r="G275" s="3"/>
      <c r="H275" s="3"/>
      <c r="I275" s="3">
        <v>1</v>
      </c>
      <c r="J275" s="3">
        <v>1</v>
      </c>
      <c r="K275" s="3">
        <v>1</v>
      </c>
      <c r="L275" s="3">
        <v>1</v>
      </c>
      <c r="M275" s="3">
        <v>1</v>
      </c>
      <c r="N275" s="3">
        <v>1</v>
      </c>
      <c r="O275" s="3"/>
      <c r="P275" s="3">
        <v>1</v>
      </c>
      <c r="Q275" s="3">
        <v>1</v>
      </c>
      <c r="R275" s="3">
        <v>1</v>
      </c>
      <c r="S275" s="3">
        <v>1</v>
      </c>
      <c r="T275" s="3">
        <v>1</v>
      </c>
      <c r="U275" s="3">
        <v>1</v>
      </c>
      <c r="V275" s="3">
        <v>1</v>
      </c>
      <c r="W275" s="3">
        <v>1</v>
      </c>
      <c r="X275" s="3">
        <v>1</v>
      </c>
      <c r="Y275" s="3">
        <v>1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  <c r="AF275" s="3">
        <v>1</v>
      </c>
      <c r="AG275" s="3">
        <v>1</v>
      </c>
      <c r="AH275" s="3">
        <v>1</v>
      </c>
      <c r="AI275" s="3">
        <v>1</v>
      </c>
      <c r="AJ275" s="3">
        <v>1</v>
      </c>
      <c r="AK275" s="3">
        <v>1</v>
      </c>
      <c r="AL275" s="3"/>
      <c r="AM275" s="3">
        <v>1</v>
      </c>
      <c r="AN275" s="3">
        <v>1</v>
      </c>
      <c r="AO275" s="3">
        <v>1</v>
      </c>
      <c r="AP275" s="3">
        <v>1</v>
      </c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 x14ac:dyDescent="0.3">
      <c r="A276" s="3" t="s">
        <v>337</v>
      </c>
      <c r="B276" s="62">
        <v>43</v>
      </c>
      <c r="C276" s="64"/>
      <c r="D276" s="3" t="s">
        <v>48</v>
      </c>
      <c r="E276" s="3">
        <v>1</v>
      </c>
      <c r="F276" s="3">
        <v>1</v>
      </c>
      <c r="G276" s="3"/>
      <c r="H276" s="3"/>
      <c r="I276" s="3"/>
      <c r="J276" s="3">
        <v>1</v>
      </c>
      <c r="K276" s="3">
        <v>1</v>
      </c>
      <c r="L276" s="3">
        <v>1</v>
      </c>
      <c r="M276" s="3">
        <v>1</v>
      </c>
      <c r="N276" s="3"/>
      <c r="O276" s="3"/>
      <c r="P276" s="3"/>
      <c r="Q276" s="3">
        <v>1</v>
      </c>
      <c r="R276" s="3">
        <v>1</v>
      </c>
      <c r="S276" s="3">
        <v>1</v>
      </c>
      <c r="T276" s="3">
        <v>1</v>
      </c>
      <c r="U276" s="3">
        <v>1</v>
      </c>
      <c r="V276" s="3"/>
      <c r="W276" s="3"/>
      <c r="X276" s="3">
        <v>1</v>
      </c>
      <c r="Y276" s="3"/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/>
      <c r="AF276" s="3">
        <v>1</v>
      </c>
      <c r="AG276" s="3"/>
      <c r="AH276" s="3">
        <v>1</v>
      </c>
      <c r="AI276" s="3">
        <v>1</v>
      </c>
      <c r="AJ276" s="3">
        <v>1</v>
      </c>
      <c r="AK276" s="3">
        <v>1</v>
      </c>
      <c r="AL276" s="3"/>
      <c r="AM276" s="3"/>
      <c r="AN276" s="3">
        <v>1</v>
      </c>
      <c r="AO276" s="3"/>
      <c r="AP276" s="3">
        <v>1</v>
      </c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 x14ac:dyDescent="0.3">
      <c r="A277" s="3" t="s">
        <v>337</v>
      </c>
      <c r="B277" s="62">
        <v>43</v>
      </c>
      <c r="C277" s="64"/>
      <c r="D277" s="3" t="s">
        <v>290</v>
      </c>
      <c r="E277" s="3">
        <v>1</v>
      </c>
      <c r="F277" s="3">
        <v>1</v>
      </c>
      <c r="G277" s="3"/>
      <c r="H277" s="3"/>
      <c r="I277" s="3">
        <v>1</v>
      </c>
      <c r="J277" s="3">
        <v>1</v>
      </c>
      <c r="K277" s="3">
        <v>1</v>
      </c>
      <c r="L277" s="3">
        <v>1</v>
      </c>
      <c r="M277" s="3">
        <v>1</v>
      </c>
      <c r="N277" s="3">
        <v>1</v>
      </c>
      <c r="O277" s="3"/>
      <c r="P277" s="3">
        <v>1</v>
      </c>
      <c r="Q277" s="3">
        <v>1</v>
      </c>
      <c r="R277" s="3">
        <v>1</v>
      </c>
      <c r="S277" s="3">
        <v>1</v>
      </c>
      <c r="T277" s="3">
        <v>1</v>
      </c>
      <c r="U277" s="3">
        <v>1</v>
      </c>
      <c r="V277" s="3">
        <v>1</v>
      </c>
      <c r="W277" s="3">
        <v>1</v>
      </c>
      <c r="X277" s="3">
        <v>1</v>
      </c>
      <c r="Y277" s="3">
        <v>1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  <c r="AF277" s="3">
        <v>1</v>
      </c>
      <c r="AG277" s="3">
        <v>1</v>
      </c>
      <c r="AH277" s="3">
        <v>1</v>
      </c>
      <c r="AI277" s="3">
        <v>1</v>
      </c>
      <c r="AJ277" s="3">
        <v>1</v>
      </c>
      <c r="AK277" s="3">
        <v>1</v>
      </c>
      <c r="AL277" s="3"/>
      <c r="AM277" s="3">
        <v>1</v>
      </c>
      <c r="AN277" s="3">
        <v>1</v>
      </c>
      <c r="AO277" s="3">
        <v>1</v>
      </c>
      <c r="AP277" s="3">
        <v>1</v>
      </c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 x14ac:dyDescent="0.3">
      <c r="A278" s="3" t="s">
        <v>337</v>
      </c>
      <c r="B278" s="62">
        <v>43</v>
      </c>
      <c r="C278" s="64"/>
      <c r="D278" s="3" t="s">
        <v>273</v>
      </c>
      <c r="E278" s="3">
        <v>1</v>
      </c>
      <c r="F278" s="3">
        <v>1</v>
      </c>
      <c r="G278" s="3"/>
      <c r="H278" s="3"/>
      <c r="I278" s="3"/>
      <c r="J278" s="3">
        <v>1</v>
      </c>
      <c r="K278" s="3">
        <v>1</v>
      </c>
      <c r="L278" s="3">
        <v>1</v>
      </c>
      <c r="M278" s="3">
        <v>1</v>
      </c>
      <c r="N278" s="3">
        <v>1</v>
      </c>
      <c r="O278" s="3"/>
      <c r="P278" s="3">
        <v>1</v>
      </c>
      <c r="Q278" s="3">
        <v>1</v>
      </c>
      <c r="R278" s="3">
        <v>1</v>
      </c>
      <c r="S278" s="3">
        <v>1</v>
      </c>
      <c r="T278" s="3">
        <v>1</v>
      </c>
      <c r="U278" s="3">
        <v>1</v>
      </c>
      <c r="V278" s="3">
        <v>1</v>
      </c>
      <c r="W278" s="3"/>
      <c r="X278" s="3">
        <v>1</v>
      </c>
      <c r="Y278" s="3">
        <v>1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  <c r="AF278" s="3">
        <v>1</v>
      </c>
      <c r="AG278" s="3"/>
      <c r="AH278" s="3">
        <v>1</v>
      </c>
      <c r="AI278" s="3">
        <v>1</v>
      </c>
      <c r="AJ278" s="3">
        <v>1</v>
      </c>
      <c r="AK278" s="3">
        <v>1</v>
      </c>
      <c r="AL278" s="3"/>
      <c r="AM278" s="3">
        <v>1</v>
      </c>
      <c r="AN278" s="3">
        <v>1</v>
      </c>
      <c r="AO278" s="3">
        <v>1</v>
      </c>
      <c r="AP278" s="3">
        <v>1</v>
      </c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 x14ac:dyDescent="0.3">
      <c r="A279" s="3" t="s">
        <v>337</v>
      </c>
      <c r="B279" s="62">
        <v>43</v>
      </c>
      <c r="C279" s="64"/>
      <c r="D279" s="3" t="s">
        <v>54</v>
      </c>
      <c r="E279" s="3">
        <v>1</v>
      </c>
      <c r="F279" s="3">
        <v>1</v>
      </c>
      <c r="G279" s="3"/>
      <c r="H279" s="3"/>
      <c r="I279" s="3">
        <v>1</v>
      </c>
      <c r="J279" s="3"/>
      <c r="K279" s="3">
        <v>1</v>
      </c>
      <c r="L279" s="3">
        <v>1</v>
      </c>
      <c r="M279" s="3"/>
      <c r="N279" s="3">
        <v>1</v>
      </c>
      <c r="O279" s="3"/>
      <c r="P279" s="3"/>
      <c r="Q279" s="3">
        <v>1</v>
      </c>
      <c r="R279" s="3">
        <v>1</v>
      </c>
      <c r="S279" s="3">
        <v>1</v>
      </c>
      <c r="T279" s="3"/>
      <c r="U279" s="3"/>
      <c r="V279" s="3"/>
      <c r="W279" s="3">
        <v>1</v>
      </c>
      <c r="X279" s="3"/>
      <c r="Y279" s="3">
        <v>1</v>
      </c>
      <c r="Z279" s="3">
        <v>1</v>
      </c>
      <c r="AA279" s="3">
        <v>1</v>
      </c>
      <c r="AB279" s="3">
        <v>1</v>
      </c>
      <c r="AC279" s="3"/>
      <c r="AD279" s="3"/>
      <c r="AE279" s="3">
        <v>1</v>
      </c>
      <c r="AF279" s="3"/>
      <c r="AG279" s="3"/>
      <c r="AH279" s="3"/>
      <c r="AI279" s="3"/>
      <c r="AJ279" s="3"/>
      <c r="AK279" s="3"/>
      <c r="AL279" s="3"/>
      <c r="AM279" s="3">
        <v>1</v>
      </c>
      <c r="AN279" s="3">
        <v>1</v>
      </c>
      <c r="AO279" s="3"/>
      <c r="AP279" s="3">
        <v>1</v>
      </c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 x14ac:dyDescent="0.3">
      <c r="A280" s="3" t="s">
        <v>337</v>
      </c>
      <c r="B280" s="62">
        <v>43</v>
      </c>
      <c r="C280" s="64"/>
      <c r="D280" s="3" t="s">
        <v>82</v>
      </c>
      <c r="E280" s="3">
        <v>1</v>
      </c>
      <c r="F280" s="3">
        <v>1</v>
      </c>
      <c r="G280" s="3"/>
      <c r="H280" s="3"/>
      <c r="I280" s="3">
        <v>1</v>
      </c>
      <c r="J280" s="3">
        <v>1</v>
      </c>
      <c r="K280" s="3">
        <v>1</v>
      </c>
      <c r="L280" s="3">
        <v>1</v>
      </c>
      <c r="M280" s="3">
        <v>1</v>
      </c>
      <c r="N280" s="3">
        <v>1</v>
      </c>
      <c r="O280" s="3"/>
      <c r="P280" s="3">
        <v>1</v>
      </c>
      <c r="Q280" s="3">
        <v>1</v>
      </c>
      <c r="R280" s="3">
        <v>1</v>
      </c>
      <c r="S280" s="3">
        <v>1</v>
      </c>
      <c r="T280" s="3">
        <v>1</v>
      </c>
      <c r="U280" s="3">
        <v>1</v>
      </c>
      <c r="V280" s="3">
        <v>1</v>
      </c>
      <c r="W280" s="3">
        <v>1</v>
      </c>
      <c r="X280" s="3">
        <v>1</v>
      </c>
      <c r="Y280" s="3">
        <v>1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  <c r="AF280" s="3">
        <v>1</v>
      </c>
      <c r="AG280" s="3">
        <v>1</v>
      </c>
      <c r="AH280" s="3">
        <v>1</v>
      </c>
      <c r="AI280" s="3">
        <v>1</v>
      </c>
      <c r="AJ280" s="3">
        <v>1</v>
      </c>
      <c r="AK280" s="3">
        <v>1</v>
      </c>
      <c r="AL280" s="3"/>
      <c r="AM280" s="3">
        <v>1</v>
      </c>
      <c r="AN280" s="3">
        <v>1</v>
      </c>
      <c r="AO280" s="3">
        <v>1</v>
      </c>
      <c r="AP280" s="3">
        <v>1</v>
      </c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 x14ac:dyDescent="0.3">
      <c r="A281" s="3" t="s">
        <v>337</v>
      </c>
      <c r="B281" s="62">
        <v>43</v>
      </c>
      <c r="C281" s="64"/>
      <c r="D281" s="3" t="s">
        <v>132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 x14ac:dyDescent="0.3">
      <c r="A282" s="3" t="s">
        <v>337</v>
      </c>
      <c r="B282" s="62">
        <v>43</v>
      </c>
      <c r="C282" s="64"/>
      <c r="D282" s="3" t="s">
        <v>66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>
        <v>1</v>
      </c>
      <c r="AA282" s="3"/>
      <c r="AB282" s="3"/>
      <c r="AC282" s="3"/>
      <c r="AD282" s="3"/>
      <c r="AE282" s="3"/>
      <c r="AF282" s="3"/>
      <c r="AG282" s="3">
        <v>1</v>
      </c>
      <c r="AH282" s="3"/>
      <c r="AI282" s="3">
        <v>1</v>
      </c>
      <c r="AJ282" s="3">
        <v>1</v>
      </c>
      <c r="AK282" s="3">
        <v>1</v>
      </c>
      <c r="AL282" s="3"/>
      <c r="AM282" s="3">
        <v>1</v>
      </c>
      <c r="AN282" s="3">
        <v>1</v>
      </c>
      <c r="AO282" s="3">
        <v>1</v>
      </c>
      <c r="AP282" s="3">
        <v>1</v>
      </c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 x14ac:dyDescent="0.3">
      <c r="A283" s="3" t="s">
        <v>337</v>
      </c>
      <c r="B283" s="62">
        <v>43</v>
      </c>
      <c r="C283" s="64"/>
      <c r="D283" s="3" t="s">
        <v>88</v>
      </c>
      <c r="E283" s="3"/>
      <c r="F283" s="3">
        <v>1</v>
      </c>
      <c r="G283" s="3"/>
      <c r="H283" s="3"/>
      <c r="I283" s="3"/>
      <c r="J283" s="3">
        <v>1</v>
      </c>
      <c r="K283" s="3"/>
      <c r="L283" s="3"/>
      <c r="M283" s="3"/>
      <c r="N283" s="3"/>
      <c r="O283" s="3"/>
      <c r="P283" s="3">
        <v>1</v>
      </c>
      <c r="Q283" s="3"/>
      <c r="R283" s="3"/>
      <c r="S283" s="3">
        <v>1</v>
      </c>
      <c r="T283" s="3">
        <v>1</v>
      </c>
      <c r="U283" s="3"/>
      <c r="V283" s="3"/>
      <c r="W283" s="3"/>
      <c r="X283" s="3"/>
      <c r="Y283" s="3">
        <v>1</v>
      </c>
      <c r="Z283" s="3">
        <v>1</v>
      </c>
      <c r="AA283" s="3"/>
      <c r="AB283" s="3">
        <v>1</v>
      </c>
      <c r="AC283" s="3">
        <v>1</v>
      </c>
      <c r="AD283" s="3">
        <v>1</v>
      </c>
      <c r="AE283" s="3">
        <v>1</v>
      </c>
      <c r="AF283" s="3">
        <v>1</v>
      </c>
      <c r="AG283" s="3"/>
      <c r="AH283" s="3">
        <v>1</v>
      </c>
      <c r="AI283" s="3">
        <v>1</v>
      </c>
      <c r="AJ283" s="3"/>
      <c r="AK283" s="3"/>
      <c r="AL283" s="3"/>
      <c r="AM283" s="3"/>
      <c r="AN283" s="3">
        <v>1</v>
      </c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 x14ac:dyDescent="0.3">
      <c r="A284" s="3" t="s">
        <v>337</v>
      </c>
      <c r="B284" s="62">
        <v>43</v>
      </c>
      <c r="C284" s="64"/>
      <c r="D284" s="3" t="s">
        <v>14</v>
      </c>
      <c r="E284" s="3"/>
      <c r="F284" s="3">
        <v>1</v>
      </c>
      <c r="G284" s="3"/>
      <c r="H284" s="3"/>
      <c r="I284" s="3">
        <v>1</v>
      </c>
      <c r="J284" s="3">
        <v>1</v>
      </c>
      <c r="K284" s="3">
        <v>1</v>
      </c>
      <c r="L284" s="3"/>
      <c r="M284" s="3">
        <v>1</v>
      </c>
      <c r="N284" s="3">
        <v>1</v>
      </c>
      <c r="O284" s="3"/>
      <c r="P284" s="3">
        <v>1</v>
      </c>
      <c r="Q284" s="3">
        <v>1</v>
      </c>
      <c r="R284" s="3">
        <v>1</v>
      </c>
      <c r="S284" s="3">
        <v>1</v>
      </c>
      <c r="T284" s="3">
        <v>1</v>
      </c>
      <c r="U284" s="3">
        <v>1</v>
      </c>
      <c r="V284" s="3">
        <v>1</v>
      </c>
      <c r="W284" s="3">
        <v>1</v>
      </c>
      <c r="X284" s="3">
        <v>1</v>
      </c>
      <c r="Y284" s="3">
        <v>1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  <c r="AF284" s="3">
        <v>1</v>
      </c>
      <c r="AG284" s="3">
        <v>1</v>
      </c>
      <c r="AH284" s="3">
        <v>1</v>
      </c>
      <c r="AI284" s="3">
        <v>1</v>
      </c>
      <c r="AJ284" s="3">
        <v>1</v>
      </c>
      <c r="AK284" s="3">
        <v>1</v>
      </c>
      <c r="AL284" s="3"/>
      <c r="AM284" s="3">
        <v>1</v>
      </c>
      <c r="AN284" s="3">
        <v>1</v>
      </c>
      <c r="AO284" s="3">
        <v>1</v>
      </c>
      <c r="AP284" s="3">
        <v>1</v>
      </c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 x14ac:dyDescent="0.3">
      <c r="A285" s="3" t="s">
        <v>337</v>
      </c>
      <c r="B285" s="62">
        <v>43</v>
      </c>
      <c r="C285" s="64"/>
      <c r="D285" s="3" t="s">
        <v>124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>
        <v>1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 x14ac:dyDescent="0.3">
      <c r="A286" s="3" t="s">
        <v>337</v>
      </c>
      <c r="B286" s="62">
        <v>43</v>
      </c>
      <c r="C286" s="64"/>
      <c r="D286" s="3" t="s">
        <v>51</v>
      </c>
      <c r="E286" s="3">
        <v>1</v>
      </c>
      <c r="F286" s="3"/>
      <c r="G286" s="3"/>
      <c r="H286" s="3"/>
      <c r="I286" s="3">
        <v>1</v>
      </c>
      <c r="J286" s="3">
        <v>1</v>
      </c>
      <c r="K286" s="3">
        <v>1</v>
      </c>
      <c r="L286" s="3">
        <v>1</v>
      </c>
      <c r="M286" s="3">
        <v>1</v>
      </c>
      <c r="N286" s="3"/>
      <c r="O286" s="3"/>
      <c r="P286" s="3"/>
      <c r="Q286" s="3">
        <v>1</v>
      </c>
      <c r="R286" s="3">
        <v>1</v>
      </c>
      <c r="S286" s="3">
        <v>1</v>
      </c>
      <c r="T286" s="3"/>
      <c r="U286" s="3">
        <v>1</v>
      </c>
      <c r="V286" s="3">
        <v>1</v>
      </c>
      <c r="W286" s="3">
        <v>1</v>
      </c>
      <c r="X286" s="3">
        <v>1</v>
      </c>
      <c r="Y286" s="3">
        <v>1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  <c r="AF286" s="3">
        <v>1</v>
      </c>
      <c r="AG286" s="3">
        <v>1</v>
      </c>
      <c r="AH286" s="3"/>
      <c r="AI286" s="3">
        <v>1</v>
      </c>
      <c r="AJ286" s="3"/>
      <c r="AK286" s="3">
        <v>1</v>
      </c>
      <c r="AL286" s="3"/>
      <c r="AM286" s="3">
        <v>1</v>
      </c>
      <c r="AN286" s="3">
        <v>1</v>
      </c>
      <c r="AO286" s="3"/>
      <c r="AP286" s="3">
        <v>1</v>
      </c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 x14ac:dyDescent="0.3">
      <c r="A287" s="3" t="s">
        <v>337</v>
      </c>
      <c r="B287" s="62">
        <v>43</v>
      </c>
      <c r="C287" s="64"/>
      <c r="D287" s="3" t="s">
        <v>107</v>
      </c>
      <c r="E287" s="3">
        <v>1</v>
      </c>
      <c r="F287" s="3">
        <v>1</v>
      </c>
      <c r="G287" s="3"/>
      <c r="H287" s="3"/>
      <c r="I287" s="3">
        <v>1</v>
      </c>
      <c r="J287" s="3">
        <v>1</v>
      </c>
      <c r="K287" s="3">
        <v>1</v>
      </c>
      <c r="L287" s="3">
        <v>1</v>
      </c>
      <c r="M287" s="3">
        <v>1</v>
      </c>
      <c r="N287" s="3">
        <v>1</v>
      </c>
      <c r="O287" s="3"/>
      <c r="P287" s="3">
        <v>1</v>
      </c>
      <c r="Q287" s="3">
        <v>1</v>
      </c>
      <c r="R287" s="3">
        <v>1</v>
      </c>
      <c r="S287" s="3">
        <v>1</v>
      </c>
      <c r="T287" s="3">
        <v>1</v>
      </c>
      <c r="U287" s="3">
        <v>1</v>
      </c>
      <c r="V287" s="3">
        <v>1</v>
      </c>
      <c r="W287" s="3">
        <v>1</v>
      </c>
      <c r="X287" s="3">
        <v>1</v>
      </c>
      <c r="Y287" s="3">
        <v>1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  <c r="AF287" s="3">
        <v>1</v>
      </c>
      <c r="AG287" s="3">
        <v>1</v>
      </c>
      <c r="AH287" s="3">
        <v>1</v>
      </c>
      <c r="AI287" s="3">
        <v>1</v>
      </c>
      <c r="AJ287" s="3">
        <v>1</v>
      </c>
      <c r="AK287" s="3">
        <v>1</v>
      </c>
      <c r="AL287" s="3"/>
      <c r="AM287" s="3">
        <v>1</v>
      </c>
      <c r="AN287" s="3"/>
      <c r="AO287" s="3">
        <v>1</v>
      </c>
      <c r="AP287" s="3">
        <v>1</v>
      </c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 x14ac:dyDescent="0.3">
      <c r="A288" s="3" t="s">
        <v>337</v>
      </c>
      <c r="B288" s="62">
        <v>43</v>
      </c>
      <c r="C288" s="64"/>
      <c r="D288" s="3" t="s">
        <v>25</v>
      </c>
      <c r="E288" s="3"/>
      <c r="F288" s="3">
        <v>1</v>
      </c>
      <c r="G288" s="3"/>
      <c r="H288" s="3"/>
      <c r="I288" s="3">
        <v>1</v>
      </c>
      <c r="J288" s="3">
        <v>1</v>
      </c>
      <c r="K288" s="3">
        <v>1</v>
      </c>
      <c r="L288" s="3">
        <v>1</v>
      </c>
      <c r="M288" s="3">
        <v>1</v>
      </c>
      <c r="N288" s="3"/>
      <c r="O288" s="3"/>
      <c r="P288" s="3"/>
      <c r="Q288" s="3">
        <v>1</v>
      </c>
      <c r="R288" s="3">
        <v>1</v>
      </c>
      <c r="S288" s="3"/>
      <c r="T288" s="3">
        <v>1</v>
      </c>
      <c r="U288" s="3">
        <v>1</v>
      </c>
      <c r="V288" s="3">
        <v>1</v>
      </c>
      <c r="W288" s="3">
        <v>1</v>
      </c>
      <c r="X288" s="3"/>
      <c r="Y288" s="3">
        <v>1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  <c r="AF288" s="3">
        <v>1</v>
      </c>
      <c r="AG288" s="3">
        <v>1</v>
      </c>
      <c r="AH288" s="3">
        <v>1</v>
      </c>
      <c r="AI288" s="3">
        <v>1</v>
      </c>
      <c r="AJ288" s="3">
        <v>1</v>
      </c>
      <c r="AK288" s="3">
        <v>1</v>
      </c>
      <c r="AL288" s="3"/>
      <c r="AM288" s="3">
        <v>1</v>
      </c>
      <c r="AN288" s="3">
        <v>1</v>
      </c>
      <c r="AO288" s="3">
        <v>1</v>
      </c>
      <c r="AP288" s="3">
        <v>1</v>
      </c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  <row r="289" spans="1:57" x14ac:dyDescent="0.3">
      <c r="A289" s="3" t="s">
        <v>337</v>
      </c>
      <c r="B289" s="62">
        <v>43</v>
      </c>
      <c r="C289" s="64"/>
      <c r="D289" s="3" t="s">
        <v>168</v>
      </c>
      <c r="E289" s="3">
        <v>1</v>
      </c>
      <c r="F289" s="3">
        <v>1</v>
      </c>
      <c r="G289" s="3"/>
      <c r="H289" s="3"/>
      <c r="I289" s="3">
        <v>1</v>
      </c>
      <c r="J289" s="3">
        <v>1</v>
      </c>
      <c r="K289" s="3">
        <v>1</v>
      </c>
      <c r="L289" s="3">
        <v>1</v>
      </c>
      <c r="M289" s="3">
        <v>1</v>
      </c>
      <c r="N289" s="3">
        <v>1</v>
      </c>
      <c r="O289" s="3"/>
      <c r="P289" s="3">
        <v>1</v>
      </c>
      <c r="Q289" s="3">
        <v>1</v>
      </c>
      <c r="R289" s="3">
        <v>1</v>
      </c>
      <c r="S289" s="3">
        <v>1</v>
      </c>
      <c r="T289" s="3">
        <v>1</v>
      </c>
      <c r="U289" s="3"/>
      <c r="V289" s="3">
        <v>1</v>
      </c>
      <c r="W289" s="3">
        <v>1</v>
      </c>
      <c r="X289" s="3">
        <v>1</v>
      </c>
      <c r="Y289" s="3">
        <v>1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  <c r="AF289" s="3">
        <v>1</v>
      </c>
      <c r="AG289" s="3">
        <v>1</v>
      </c>
      <c r="AH289" s="3">
        <v>1</v>
      </c>
      <c r="AI289" s="3">
        <v>1</v>
      </c>
      <c r="AJ289" s="3">
        <v>1</v>
      </c>
      <c r="AK289" s="3">
        <v>1</v>
      </c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</row>
    <row r="290" spans="1:57" x14ac:dyDescent="0.3">
      <c r="A290" s="3" t="s">
        <v>337</v>
      </c>
      <c r="B290" s="62">
        <v>43</v>
      </c>
      <c r="C290" s="64"/>
      <c r="D290" s="3" t="s">
        <v>84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</row>
    <row r="291" spans="1:57" x14ac:dyDescent="0.3">
      <c r="A291" s="3" t="s">
        <v>337</v>
      </c>
      <c r="B291" s="62">
        <v>43</v>
      </c>
      <c r="C291" s="64"/>
      <c r="D291" s="3" t="s">
        <v>114</v>
      </c>
      <c r="E291" s="3">
        <v>1</v>
      </c>
      <c r="F291" s="3">
        <v>1</v>
      </c>
      <c r="G291" s="3"/>
      <c r="H291" s="3"/>
      <c r="I291" s="3">
        <v>1</v>
      </c>
      <c r="J291" s="3">
        <v>1</v>
      </c>
      <c r="K291" s="3">
        <v>1</v>
      </c>
      <c r="L291" s="3">
        <v>1</v>
      </c>
      <c r="M291" s="3">
        <v>1</v>
      </c>
      <c r="N291" s="3">
        <v>1</v>
      </c>
      <c r="O291" s="3"/>
      <c r="P291" s="3"/>
      <c r="Q291" s="3">
        <v>1</v>
      </c>
      <c r="R291" s="3">
        <v>1</v>
      </c>
      <c r="S291" s="3">
        <v>1</v>
      </c>
      <c r="T291" s="3">
        <v>1</v>
      </c>
      <c r="U291" s="3">
        <v>1</v>
      </c>
      <c r="V291" s="3">
        <v>1</v>
      </c>
      <c r="W291" s="3">
        <v>1</v>
      </c>
      <c r="X291" s="3">
        <v>1</v>
      </c>
      <c r="Y291" s="3">
        <v>1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  <c r="AF291" s="3">
        <v>1</v>
      </c>
      <c r="AG291" s="3">
        <v>1</v>
      </c>
      <c r="AH291" s="3">
        <v>1</v>
      </c>
      <c r="AI291" s="3">
        <v>1</v>
      </c>
      <c r="AJ291" s="3">
        <v>1</v>
      </c>
      <c r="AK291" s="3">
        <v>1</v>
      </c>
      <c r="AL291" s="3"/>
      <c r="AM291" s="3">
        <v>1</v>
      </c>
      <c r="AN291" s="3">
        <v>1</v>
      </c>
      <c r="AO291" s="3">
        <v>1</v>
      </c>
      <c r="AP291" s="3">
        <v>1</v>
      </c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</row>
    <row r="292" spans="1:57" x14ac:dyDescent="0.3">
      <c r="A292" s="3" t="s">
        <v>337</v>
      </c>
      <c r="B292" s="62">
        <v>43</v>
      </c>
      <c r="C292" s="64"/>
      <c r="D292" s="3" t="s">
        <v>207</v>
      </c>
      <c r="E292" s="3">
        <v>1</v>
      </c>
      <c r="F292" s="3">
        <v>1</v>
      </c>
      <c r="G292" s="3"/>
      <c r="H292" s="3"/>
      <c r="I292" s="3">
        <v>1</v>
      </c>
      <c r="J292" s="3">
        <v>1</v>
      </c>
      <c r="K292" s="3">
        <v>1</v>
      </c>
      <c r="L292" s="3">
        <v>1</v>
      </c>
      <c r="M292" s="3">
        <v>1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>
        <v>1</v>
      </c>
      <c r="AC292" s="3">
        <v>1</v>
      </c>
      <c r="AD292" s="3">
        <v>1</v>
      </c>
      <c r="AE292" s="3"/>
      <c r="AF292" s="3">
        <v>1</v>
      </c>
      <c r="AG292" s="3">
        <v>1</v>
      </c>
      <c r="AH292" s="3">
        <v>1</v>
      </c>
      <c r="AI292" s="3">
        <v>1</v>
      </c>
      <c r="AJ292" s="3">
        <v>1</v>
      </c>
      <c r="AK292" s="3">
        <v>1</v>
      </c>
      <c r="AL292" s="3"/>
      <c r="AM292" s="3">
        <v>1</v>
      </c>
      <c r="AN292" s="3">
        <v>1</v>
      </c>
      <c r="AO292" s="3">
        <v>1</v>
      </c>
      <c r="AP292" s="3">
        <v>1</v>
      </c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</row>
    <row r="293" spans="1:57" x14ac:dyDescent="0.3">
      <c r="A293" s="3" t="s">
        <v>337</v>
      </c>
      <c r="B293" s="62">
        <v>43</v>
      </c>
      <c r="C293" s="64"/>
      <c r="D293" s="3" t="s">
        <v>331</v>
      </c>
      <c r="E293" s="3">
        <v>1</v>
      </c>
      <c r="F293" s="3">
        <v>1</v>
      </c>
      <c r="G293" s="3"/>
      <c r="H293" s="3"/>
      <c r="I293" s="3">
        <v>1</v>
      </c>
      <c r="J293" s="3">
        <v>1</v>
      </c>
      <c r="K293" s="3">
        <v>1</v>
      </c>
      <c r="L293" s="3">
        <v>1</v>
      </c>
      <c r="M293" s="3">
        <v>1</v>
      </c>
      <c r="N293" s="3">
        <v>1</v>
      </c>
      <c r="O293" s="3"/>
      <c r="P293" s="3">
        <v>1</v>
      </c>
      <c r="Q293" s="3">
        <v>1</v>
      </c>
      <c r="R293" s="3">
        <v>1</v>
      </c>
      <c r="S293" s="3">
        <v>1</v>
      </c>
      <c r="T293" s="3">
        <v>1</v>
      </c>
      <c r="U293" s="3">
        <v>1</v>
      </c>
      <c r="V293" s="3">
        <v>1</v>
      </c>
      <c r="W293" s="3">
        <v>1</v>
      </c>
      <c r="X293" s="3">
        <v>1</v>
      </c>
      <c r="Y293" s="3">
        <v>1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  <c r="AF293" s="3">
        <v>1</v>
      </c>
      <c r="AG293" s="3">
        <v>1</v>
      </c>
      <c r="AH293" s="3">
        <v>1</v>
      </c>
      <c r="AI293" s="3">
        <v>1</v>
      </c>
      <c r="AJ293" s="3">
        <v>1</v>
      </c>
      <c r="AK293" s="3">
        <v>1</v>
      </c>
      <c r="AL293" s="3"/>
      <c r="AM293" s="3">
        <v>1</v>
      </c>
      <c r="AN293" s="3">
        <v>1</v>
      </c>
      <c r="AO293" s="3">
        <v>1</v>
      </c>
      <c r="AP293" s="3">
        <v>1</v>
      </c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</row>
    <row r="294" spans="1:57" x14ac:dyDescent="0.3">
      <c r="A294" s="3" t="s">
        <v>337</v>
      </c>
      <c r="B294" s="62">
        <v>43</v>
      </c>
      <c r="C294" s="64"/>
      <c r="D294" s="3" t="s">
        <v>332</v>
      </c>
      <c r="E294" s="3">
        <v>1</v>
      </c>
      <c r="F294" s="3">
        <v>1</v>
      </c>
      <c r="G294" s="3"/>
      <c r="H294" s="3"/>
      <c r="I294" s="3"/>
      <c r="J294" s="3"/>
      <c r="K294" s="3"/>
      <c r="L294" s="3">
        <v>1</v>
      </c>
      <c r="M294" s="3">
        <v>1</v>
      </c>
      <c r="N294" s="3"/>
      <c r="O294" s="3"/>
      <c r="P294" s="3"/>
      <c r="Q294" s="3">
        <v>1</v>
      </c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>
        <v>1</v>
      </c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</row>
    <row r="295" spans="1:57" x14ac:dyDescent="0.3">
      <c r="A295" s="3" t="s">
        <v>337</v>
      </c>
      <c r="B295" s="62">
        <v>43</v>
      </c>
      <c r="C295" s="64"/>
      <c r="D295" s="3" t="s">
        <v>31</v>
      </c>
      <c r="E295" s="3">
        <v>1</v>
      </c>
      <c r="F295" s="3">
        <v>1</v>
      </c>
      <c r="G295" s="3"/>
      <c r="H295" s="3"/>
      <c r="I295" s="3"/>
      <c r="J295" s="3">
        <v>1</v>
      </c>
      <c r="K295" s="3">
        <v>1</v>
      </c>
      <c r="L295" s="3">
        <v>1</v>
      </c>
      <c r="M295" s="3">
        <v>1</v>
      </c>
      <c r="N295" s="3">
        <v>1</v>
      </c>
      <c r="O295" s="3"/>
      <c r="P295" s="3">
        <v>1</v>
      </c>
      <c r="Q295" s="3">
        <v>1</v>
      </c>
      <c r="R295" s="3">
        <v>1</v>
      </c>
      <c r="S295" s="3">
        <v>1</v>
      </c>
      <c r="T295" s="3">
        <v>1</v>
      </c>
      <c r="U295" s="3">
        <v>1</v>
      </c>
      <c r="V295" s="3">
        <v>1</v>
      </c>
      <c r="W295" s="3">
        <v>1</v>
      </c>
      <c r="X295" s="3">
        <v>1</v>
      </c>
      <c r="Y295" s="3">
        <v>1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  <c r="AF295" s="3">
        <v>1</v>
      </c>
      <c r="AG295" s="3">
        <v>1</v>
      </c>
      <c r="AH295" s="3">
        <v>1</v>
      </c>
      <c r="AI295" s="3">
        <v>1</v>
      </c>
      <c r="AJ295" s="3">
        <v>1</v>
      </c>
      <c r="AK295" s="3">
        <v>1</v>
      </c>
      <c r="AL295" s="3"/>
      <c r="AM295" s="3">
        <v>1</v>
      </c>
      <c r="AN295" s="3">
        <v>1</v>
      </c>
      <c r="AO295" s="3">
        <v>1</v>
      </c>
      <c r="AP295" s="3">
        <v>1</v>
      </c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</row>
    <row r="296" spans="1:57" x14ac:dyDescent="0.3">
      <c r="A296" s="3" t="s">
        <v>337</v>
      </c>
      <c r="B296" s="62">
        <v>43</v>
      </c>
      <c r="C296" s="64"/>
      <c r="D296" s="3" t="s">
        <v>208</v>
      </c>
      <c r="E296" s="3"/>
      <c r="F296" s="3"/>
      <c r="G296" s="3"/>
      <c r="H296" s="3"/>
      <c r="I296" s="3"/>
      <c r="J296" s="3"/>
      <c r="K296" s="3"/>
      <c r="L296" s="3">
        <v>1</v>
      </c>
      <c r="M296" s="3"/>
      <c r="N296" s="3">
        <v>1</v>
      </c>
      <c r="O296" s="3"/>
      <c r="P296" s="3">
        <v>1</v>
      </c>
      <c r="Q296" s="3">
        <v>1</v>
      </c>
      <c r="R296" s="3"/>
      <c r="S296" s="3">
        <v>1</v>
      </c>
      <c r="T296" s="3">
        <v>1</v>
      </c>
      <c r="U296" s="3"/>
      <c r="V296" s="3"/>
      <c r="W296" s="3"/>
      <c r="X296" s="3"/>
      <c r="Y296" s="3">
        <v>1</v>
      </c>
      <c r="Z296" s="3">
        <v>1</v>
      </c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>
        <v>1</v>
      </c>
      <c r="AL296" s="3"/>
      <c r="AM296" s="3">
        <v>1</v>
      </c>
      <c r="AN296" s="3"/>
      <c r="AO296" s="3"/>
      <c r="AP296" s="3">
        <v>1</v>
      </c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</row>
    <row r="297" spans="1:57" x14ac:dyDescent="0.3">
      <c r="A297" s="3" t="s">
        <v>337</v>
      </c>
      <c r="B297" s="62">
        <v>43</v>
      </c>
      <c r="C297" s="64"/>
      <c r="D297" s="3" t="s">
        <v>203</v>
      </c>
      <c r="E297" s="3">
        <v>1</v>
      </c>
      <c r="F297" s="3">
        <v>1</v>
      </c>
      <c r="G297" s="3"/>
      <c r="H297" s="3"/>
      <c r="I297" s="3">
        <v>1</v>
      </c>
      <c r="J297" s="3">
        <v>1</v>
      </c>
      <c r="K297" s="3">
        <v>1</v>
      </c>
      <c r="L297" s="3">
        <v>1</v>
      </c>
      <c r="M297" s="3">
        <v>1</v>
      </c>
      <c r="N297" s="3">
        <v>1</v>
      </c>
      <c r="O297" s="3"/>
      <c r="P297" s="3">
        <v>1</v>
      </c>
      <c r="Q297" s="3">
        <v>1</v>
      </c>
      <c r="R297" s="3">
        <v>1</v>
      </c>
      <c r="S297" s="3">
        <v>1</v>
      </c>
      <c r="T297" s="3">
        <v>1</v>
      </c>
      <c r="U297" s="3">
        <v>1</v>
      </c>
      <c r="V297" s="3">
        <v>1</v>
      </c>
      <c r="W297" s="3">
        <v>1</v>
      </c>
      <c r="X297" s="3">
        <v>1</v>
      </c>
      <c r="Y297" s="3">
        <v>1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  <c r="AF297" s="3">
        <v>1</v>
      </c>
      <c r="AG297" s="3">
        <v>1</v>
      </c>
      <c r="AH297" s="3">
        <v>1</v>
      </c>
      <c r="AI297" s="3">
        <v>1</v>
      </c>
      <c r="AJ297" s="3">
        <v>1</v>
      </c>
      <c r="AK297" s="3">
        <v>1</v>
      </c>
      <c r="AL297" s="3"/>
      <c r="AM297" s="3">
        <v>1</v>
      </c>
      <c r="AN297" s="3">
        <v>1</v>
      </c>
      <c r="AO297" s="3">
        <v>1</v>
      </c>
      <c r="AP297" s="3">
        <v>1</v>
      </c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</row>
    <row r="298" spans="1:57" x14ac:dyDescent="0.3">
      <c r="A298" s="3" t="s">
        <v>337</v>
      </c>
      <c r="B298" s="62">
        <v>43</v>
      </c>
      <c r="C298" s="64"/>
      <c r="D298" s="3" t="s">
        <v>97</v>
      </c>
      <c r="E298" s="3">
        <v>1</v>
      </c>
      <c r="F298" s="3">
        <v>1</v>
      </c>
      <c r="G298" s="3"/>
      <c r="H298" s="3"/>
      <c r="I298" s="3">
        <v>1</v>
      </c>
      <c r="J298" s="3"/>
      <c r="K298" s="3"/>
      <c r="L298" s="3"/>
      <c r="M298" s="3"/>
      <c r="N298" s="3"/>
      <c r="O298" s="3"/>
      <c r="P298" s="3"/>
      <c r="Q298" s="3"/>
      <c r="R298" s="3"/>
      <c r="S298" s="3">
        <v>1</v>
      </c>
      <c r="T298" s="3"/>
      <c r="U298" s="3"/>
      <c r="V298" s="3">
        <v>1</v>
      </c>
      <c r="W298" s="3">
        <v>1</v>
      </c>
      <c r="X298" s="3"/>
      <c r="Y298" s="3">
        <v>1</v>
      </c>
      <c r="Z298" s="3">
        <v>1</v>
      </c>
      <c r="AA298" s="3"/>
      <c r="AB298" s="3">
        <v>1</v>
      </c>
      <c r="AC298" s="3">
        <v>1</v>
      </c>
      <c r="AD298" s="3">
        <v>1</v>
      </c>
      <c r="AE298" s="3">
        <v>1</v>
      </c>
      <c r="AF298" s="3">
        <v>1</v>
      </c>
      <c r="AG298" s="3">
        <v>1</v>
      </c>
      <c r="AH298" s="3">
        <v>1</v>
      </c>
      <c r="AI298" s="3">
        <v>1</v>
      </c>
      <c r="AJ298" s="3"/>
      <c r="AK298" s="3"/>
      <c r="AL298" s="3"/>
      <c r="AM298" s="3">
        <v>1</v>
      </c>
      <c r="AN298" s="3">
        <v>1</v>
      </c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</row>
    <row r="299" spans="1:57" x14ac:dyDescent="0.3">
      <c r="A299" s="3" t="s">
        <v>337</v>
      </c>
      <c r="B299" s="62">
        <v>43</v>
      </c>
      <c r="C299" s="64"/>
      <c r="D299" s="3" t="s">
        <v>333</v>
      </c>
      <c r="E299" s="3">
        <v>1</v>
      </c>
      <c r="F299" s="3">
        <v>1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>
        <v>1</v>
      </c>
      <c r="AI299" s="3">
        <v>1</v>
      </c>
      <c r="AJ299" s="3">
        <v>1</v>
      </c>
      <c r="AK299" s="3">
        <v>1</v>
      </c>
      <c r="AL299" s="3"/>
      <c r="AM299" s="3">
        <v>1</v>
      </c>
      <c r="AN299" s="3">
        <v>1</v>
      </c>
      <c r="AO299" s="3">
        <v>1</v>
      </c>
      <c r="AP299" s="3">
        <v>1</v>
      </c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</row>
    <row r="300" spans="1:57" x14ac:dyDescent="0.3">
      <c r="A300" s="3"/>
      <c r="B300" s="62"/>
      <c r="C300" s="6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</row>
    <row r="301" spans="1:57" x14ac:dyDescent="0.3">
      <c r="A301" s="3"/>
      <c r="B301" s="62"/>
      <c r="C301" s="6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</row>
    <row r="302" spans="1:57" x14ac:dyDescent="0.3">
      <c r="A302" s="3"/>
      <c r="B302" s="62"/>
      <c r="C302" s="6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</row>
    <row r="303" spans="1:57" x14ac:dyDescent="0.3">
      <c r="A303" s="3"/>
      <c r="B303" s="62"/>
      <c r="C303" s="6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</row>
    <row r="304" spans="1:57" x14ac:dyDescent="0.3">
      <c r="K304" s="2"/>
    </row>
    <row r="305" spans="1:57" x14ac:dyDescent="0.3">
      <c r="K305" s="2"/>
    </row>
    <row r="306" spans="1:57" x14ac:dyDescent="0.3">
      <c r="K306" s="2"/>
    </row>
    <row r="307" spans="1:57" x14ac:dyDescent="0.3">
      <c r="K307" s="2"/>
    </row>
    <row r="308" spans="1:57" x14ac:dyDescent="0.3">
      <c r="A308" s="8" t="s">
        <v>336</v>
      </c>
      <c r="B308" s="8" t="s">
        <v>201</v>
      </c>
      <c r="C308" s="8" t="s">
        <v>379</v>
      </c>
      <c r="D308" s="8" t="s">
        <v>380</v>
      </c>
      <c r="E308" s="6">
        <v>45998</v>
      </c>
      <c r="F308" s="6">
        <v>46005</v>
      </c>
      <c r="G308" s="6">
        <v>46012</v>
      </c>
      <c r="H308" s="6">
        <v>46019</v>
      </c>
      <c r="I308" s="6">
        <v>45661</v>
      </c>
      <c r="J308" s="6">
        <v>45668</v>
      </c>
      <c r="K308" s="6">
        <v>45675</v>
      </c>
      <c r="L308" s="6">
        <v>45682</v>
      </c>
      <c r="M308" s="6">
        <v>45689</v>
      </c>
      <c r="N308" s="6">
        <v>45696</v>
      </c>
      <c r="O308" s="6">
        <v>45703</v>
      </c>
      <c r="P308" s="6">
        <v>45710</v>
      </c>
      <c r="Q308" s="6">
        <v>45717</v>
      </c>
      <c r="R308" s="6">
        <v>45724</v>
      </c>
      <c r="S308" s="6">
        <v>45731</v>
      </c>
      <c r="T308" s="6">
        <v>45738</v>
      </c>
      <c r="U308" s="6">
        <v>45745</v>
      </c>
      <c r="V308" s="6">
        <v>45752</v>
      </c>
      <c r="W308" s="6">
        <v>45759</v>
      </c>
      <c r="X308" s="6">
        <v>45766</v>
      </c>
      <c r="Y308" s="6">
        <v>45773</v>
      </c>
      <c r="Z308" s="6">
        <v>45780</v>
      </c>
      <c r="AA308" s="6">
        <v>45787</v>
      </c>
      <c r="AB308" s="6">
        <v>45794</v>
      </c>
      <c r="AC308" s="6">
        <v>45801</v>
      </c>
      <c r="AD308" s="6">
        <v>45808</v>
      </c>
      <c r="AE308" s="6">
        <v>45815</v>
      </c>
      <c r="AF308" s="6">
        <v>45822</v>
      </c>
      <c r="AG308" s="6">
        <v>45829</v>
      </c>
      <c r="AH308" s="6">
        <v>45836</v>
      </c>
      <c r="AI308" s="6">
        <v>45843</v>
      </c>
      <c r="AJ308" s="6">
        <v>45850</v>
      </c>
      <c r="AK308" s="6">
        <v>45857</v>
      </c>
      <c r="AL308" s="6">
        <v>45864</v>
      </c>
      <c r="AM308" s="6">
        <v>45871</v>
      </c>
      <c r="AN308" s="6">
        <v>45878</v>
      </c>
      <c r="AO308" s="6">
        <v>45885</v>
      </c>
      <c r="AP308" s="6">
        <v>45892</v>
      </c>
      <c r="AQ308" s="6">
        <v>45899</v>
      </c>
      <c r="AR308" s="6">
        <v>45906</v>
      </c>
      <c r="AS308" s="6">
        <v>45913</v>
      </c>
      <c r="AT308" s="6">
        <v>45920</v>
      </c>
      <c r="AU308" s="6">
        <v>45927</v>
      </c>
      <c r="AV308" s="6">
        <v>45934</v>
      </c>
      <c r="AW308" s="6">
        <v>45941</v>
      </c>
      <c r="AX308" s="6">
        <v>45948</v>
      </c>
      <c r="AY308" s="6">
        <v>45955</v>
      </c>
      <c r="AZ308" s="6">
        <v>45962</v>
      </c>
      <c r="BA308" s="6">
        <v>45969</v>
      </c>
      <c r="BB308" s="6">
        <v>45976</v>
      </c>
      <c r="BC308" s="6">
        <v>45983</v>
      </c>
      <c r="BD308" s="6">
        <v>45990</v>
      </c>
      <c r="BE308" s="6">
        <v>45997</v>
      </c>
    </row>
    <row r="309" spans="1:57" x14ac:dyDescent="0.3">
      <c r="A309" s="25" t="s">
        <v>339</v>
      </c>
      <c r="B309" s="3">
        <v>11</v>
      </c>
      <c r="C309" s="3" t="s">
        <v>361</v>
      </c>
      <c r="D309" s="25" t="s">
        <v>376</v>
      </c>
      <c r="E309" s="3">
        <v>1</v>
      </c>
      <c r="F309" s="3">
        <v>1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</row>
    <row r="310" spans="1:57" x14ac:dyDescent="0.3">
      <c r="A310" s="25" t="s">
        <v>339</v>
      </c>
      <c r="B310" s="3">
        <v>11</v>
      </c>
      <c r="C310" s="25" t="s">
        <v>371</v>
      </c>
      <c r="D310" s="25" t="s">
        <v>377</v>
      </c>
      <c r="E310" s="3"/>
      <c r="F310" s="3"/>
      <c r="G310" s="3"/>
      <c r="H310" s="3"/>
      <c r="I310" s="3"/>
      <c r="J310" s="3"/>
      <c r="K310" s="27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</row>
    <row r="311" spans="1:57" x14ac:dyDescent="0.3">
      <c r="A311" s="25" t="s">
        <v>339</v>
      </c>
      <c r="B311" s="3">
        <v>11</v>
      </c>
      <c r="C311" s="25" t="s">
        <v>372</v>
      </c>
      <c r="D311" s="25" t="s">
        <v>378</v>
      </c>
      <c r="E311" s="3"/>
      <c r="F311" s="3"/>
      <c r="G311" s="3"/>
      <c r="H311" s="3"/>
      <c r="I311" s="3"/>
      <c r="J311" s="3"/>
      <c r="K311" s="27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</row>
    <row r="312" spans="1:57" x14ac:dyDescent="0.3">
      <c r="A312" s="25" t="s">
        <v>339</v>
      </c>
      <c r="B312" s="3">
        <v>11</v>
      </c>
      <c r="C312" s="25" t="s">
        <v>373</v>
      </c>
      <c r="D312" s="25" t="s">
        <v>378</v>
      </c>
      <c r="E312" s="3"/>
      <c r="F312" s="3"/>
      <c r="G312" s="3"/>
      <c r="H312" s="3"/>
      <c r="I312" s="3"/>
      <c r="J312" s="3"/>
      <c r="K312" s="27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</row>
    <row r="313" spans="1:57" x14ac:dyDescent="0.3">
      <c r="A313" s="25" t="s">
        <v>339</v>
      </c>
      <c r="B313" s="3">
        <v>11</v>
      </c>
      <c r="C313" s="25" t="s">
        <v>407</v>
      </c>
      <c r="D313" s="25" t="s">
        <v>408</v>
      </c>
      <c r="E313" s="3"/>
      <c r="F313" s="3"/>
      <c r="G313" s="3"/>
      <c r="H313" s="3"/>
      <c r="I313" s="3"/>
      <c r="J313" s="3"/>
      <c r="K313" s="27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>
        <v>1</v>
      </c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</row>
    <row r="314" spans="1:57" x14ac:dyDescent="0.3">
      <c r="A314" s="25" t="s">
        <v>339</v>
      </c>
      <c r="B314" s="3">
        <v>11</v>
      </c>
      <c r="C314" s="25" t="s">
        <v>409</v>
      </c>
      <c r="D314" s="25" t="s">
        <v>410</v>
      </c>
      <c r="E314" s="3"/>
      <c r="F314" s="3"/>
      <c r="G314" s="3"/>
      <c r="H314" s="3"/>
      <c r="I314" s="3"/>
      <c r="J314" s="3"/>
      <c r="K314" s="27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>
        <v>1</v>
      </c>
      <c r="AN314" s="3"/>
      <c r="AO314" s="3"/>
      <c r="AP314" s="3">
        <v>1</v>
      </c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</row>
    <row r="315" spans="1:57" x14ac:dyDescent="0.3">
      <c r="A315" s="25" t="s">
        <v>339</v>
      </c>
      <c r="B315" s="3">
        <v>12</v>
      </c>
      <c r="C315" s="25" t="s">
        <v>395</v>
      </c>
      <c r="D315" s="25" t="s">
        <v>396</v>
      </c>
      <c r="E315" s="3"/>
      <c r="F315" s="3"/>
      <c r="G315" s="3"/>
      <c r="H315" s="3"/>
      <c r="I315" s="3"/>
      <c r="J315" s="3"/>
      <c r="K315" s="27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>
        <v>1</v>
      </c>
      <c r="AK315" s="3">
        <v>1</v>
      </c>
      <c r="AL315" s="3"/>
      <c r="AM315" s="3">
        <v>1</v>
      </c>
      <c r="AN315" s="3">
        <v>1</v>
      </c>
      <c r="AO315" s="3">
        <v>1</v>
      </c>
      <c r="AP315" s="3">
        <v>1</v>
      </c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</row>
    <row r="316" spans="1:57" x14ac:dyDescent="0.3">
      <c r="A316" s="25" t="s">
        <v>339</v>
      </c>
      <c r="B316" s="3">
        <v>12</v>
      </c>
      <c r="C316" s="25" t="s">
        <v>401</v>
      </c>
      <c r="D316" s="25" t="s">
        <v>396</v>
      </c>
      <c r="E316" s="3"/>
      <c r="F316" s="3"/>
      <c r="G316" s="3"/>
      <c r="H316" s="3"/>
      <c r="I316" s="3"/>
      <c r="J316" s="3"/>
      <c r="K316" s="27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>
        <v>1</v>
      </c>
      <c r="AM316" s="3">
        <v>1</v>
      </c>
      <c r="AN316" s="3">
        <v>1</v>
      </c>
      <c r="AO316" s="3">
        <v>1</v>
      </c>
      <c r="AP316" s="3">
        <v>1</v>
      </c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</row>
    <row r="317" spans="1:57" x14ac:dyDescent="0.3">
      <c r="A317" s="25" t="s">
        <v>339</v>
      </c>
      <c r="B317" s="3">
        <v>12</v>
      </c>
      <c r="C317" s="25" t="s">
        <v>402</v>
      </c>
      <c r="D317" s="25" t="s">
        <v>403</v>
      </c>
      <c r="E317" s="3"/>
      <c r="F317" s="3"/>
      <c r="G317" s="3"/>
      <c r="H317" s="3"/>
      <c r="I317" s="3"/>
      <c r="J317" s="3"/>
      <c r="K317" s="27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>
        <v>1</v>
      </c>
      <c r="AM317" s="3">
        <v>1</v>
      </c>
      <c r="AN317" s="3">
        <v>1</v>
      </c>
      <c r="AO317" s="3">
        <v>1</v>
      </c>
      <c r="AP317" s="3">
        <v>1</v>
      </c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</row>
    <row r="318" spans="1:57" x14ac:dyDescent="0.3">
      <c r="A318" s="25" t="s">
        <v>339</v>
      </c>
      <c r="B318" s="3">
        <v>21</v>
      </c>
      <c r="C318" s="25" t="s">
        <v>374</v>
      </c>
      <c r="D318" s="25" t="s">
        <v>293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>
        <v>1</v>
      </c>
      <c r="AA318" s="3"/>
      <c r="AB318" s="3">
        <v>1</v>
      </c>
      <c r="AC318" s="3">
        <v>1</v>
      </c>
      <c r="AD318" s="3">
        <v>1</v>
      </c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>
        <v>1</v>
      </c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</row>
    <row r="319" spans="1:57" x14ac:dyDescent="0.3">
      <c r="A319" s="25" t="s">
        <v>339</v>
      </c>
      <c r="B319" s="3">
        <v>21</v>
      </c>
      <c r="C319" s="25" t="s">
        <v>375</v>
      </c>
      <c r="D319" s="25" t="s">
        <v>294</v>
      </c>
      <c r="E319" s="3"/>
      <c r="F319" s="3"/>
      <c r="G319" s="3"/>
      <c r="H319" s="3"/>
      <c r="I319" s="3"/>
      <c r="J319" s="3"/>
      <c r="K319" s="27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>
        <v>1</v>
      </c>
      <c r="AA319" s="3"/>
      <c r="AB319" s="3">
        <v>1</v>
      </c>
      <c r="AC319" s="3">
        <v>1</v>
      </c>
      <c r="AD319" s="3">
        <v>1</v>
      </c>
      <c r="AE319" s="3"/>
      <c r="AF319" s="3"/>
      <c r="AG319" s="3"/>
      <c r="AH319" s="3">
        <v>1</v>
      </c>
      <c r="AI319" s="3">
        <v>1</v>
      </c>
      <c r="AJ319" s="3">
        <v>1</v>
      </c>
      <c r="AK319" s="3"/>
      <c r="AL319" s="3">
        <v>1</v>
      </c>
      <c r="AM319" s="3">
        <v>1</v>
      </c>
      <c r="AN319" s="3">
        <v>1</v>
      </c>
      <c r="AO319" s="3">
        <v>1</v>
      </c>
      <c r="AP319" s="3">
        <v>1</v>
      </c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</row>
    <row r="320" spans="1:57" x14ac:dyDescent="0.3">
      <c r="A320" s="25" t="s">
        <v>339</v>
      </c>
      <c r="B320" s="3">
        <v>22</v>
      </c>
      <c r="C320" s="25" t="s">
        <v>411</v>
      </c>
      <c r="D320" s="25" t="s">
        <v>381</v>
      </c>
      <c r="E320" s="3"/>
      <c r="F320" s="3"/>
      <c r="G320" s="3"/>
      <c r="H320" s="3"/>
      <c r="I320" s="3"/>
      <c r="J320" s="3"/>
      <c r="K320" s="27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>
        <v>1</v>
      </c>
      <c r="AP320" s="3">
        <v>1</v>
      </c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</row>
    <row r="321" spans="1:57" x14ac:dyDescent="0.3">
      <c r="A321" s="25" t="s">
        <v>339</v>
      </c>
      <c r="B321" s="3">
        <v>22</v>
      </c>
      <c r="C321" s="3" t="s">
        <v>362</v>
      </c>
      <c r="D321" s="25" t="s">
        <v>381</v>
      </c>
      <c r="E321" s="3"/>
      <c r="F321" s="3"/>
      <c r="G321" s="3"/>
      <c r="H321" s="3"/>
      <c r="I321" s="3"/>
      <c r="J321" s="3"/>
      <c r="K321" s="27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>
        <v>1</v>
      </c>
      <c r="W321" s="3"/>
      <c r="X321" s="3"/>
      <c r="Y321" s="3">
        <v>1</v>
      </c>
      <c r="Z321" s="3">
        <v>1</v>
      </c>
      <c r="AA321" s="3"/>
      <c r="AB321" s="3">
        <v>1</v>
      </c>
      <c r="AC321" s="3"/>
      <c r="AD321" s="3"/>
      <c r="AE321" s="3"/>
      <c r="AF321" s="3"/>
      <c r="AG321" s="3"/>
      <c r="AH321" s="3"/>
      <c r="AI321" s="3">
        <v>1</v>
      </c>
      <c r="AJ321" s="3">
        <v>1</v>
      </c>
      <c r="AK321" s="3">
        <v>1</v>
      </c>
      <c r="AL321" s="3">
        <v>1</v>
      </c>
      <c r="AM321" s="3"/>
      <c r="AN321" s="3"/>
      <c r="AO321" s="3">
        <v>1</v>
      </c>
      <c r="AP321" s="3">
        <v>1</v>
      </c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</row>
    <row r="322" spans="1:57" x14ac:dyDescent="0.3">
      <c r="A322" s="25" t="s">
        <v>339</v>
      </c>
      <c r="B322" s="3">
        <v>22</v>
      </c>
      <c r="C322" s="25" t="s">
        <v>399</v>
      </c>
      <c r="D322" s="25" t="s">
        <v>400</v>
      </c>
      <c r="E322" s="3"/>
      <c r="F322" s="3"/>
      <c r="G322" s="3"/>
      <c r="H322" s="3"/>
      <c r="I322" s="3"/>
      <c r="J322" s="3"/>
      <c r="K322" s="27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>
        <v>1</v>
      </c>
      <c r="AL322" s="3">
        <v>1</v>
      </c>
      <c r="AM322" s="3"/>
      <c r="AN322" s="3">
        <v>1</v>
      </c>
      <c r="AO322" s="3"/>
      <c r="AP322" s="3">
        <v>1</v>
      </c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</row>
    <row r="323" spans="1:57" x14ac:dyDescent="0.3">
      <c r="A323" s="25" t="s">
        <v>339</v>
      </c>
      <c r="B323" s="3">
        <v>22</v>
      </c>
      <c r="C323" s="3" t="s">
        <v>363</v>
      </c>
      <c r="D323" s="25" t="s">
        <v>381</v>
      </c>
      <c r="E323" s="3"/>
      <c r="F323" s="3"/>
      <c r="G323" s="3"/>
      <c r="H323" s="3"/>
      <c r="I323" s="3"/>
      <c r="J323" s="3"/>
      <c r="K323" s="27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>
        <v>1</v>
      </c>
      <c r="AD323" s="3"/>
      <c r="AE323" s="3">
        <v>1</v>
      </c>
      <c r="AF323" s="3">
        <v>1</v>
      </c>
      <c r="AG323" s="3">
        <v>1</v>
      </c>
      <c r="AH323" s="3">
        <v>1</v>
      </c>
      <c r="AI323" s="3"/>
      <c r="AJ323" s="3"/>
      <c r="AK323" s="3"/>
      <c r="AL323" s="3"/>
      <c r="AM323" s="3"/>
      <c r="AN323" s="3">
        <v>1</v>
      </c>
      <c r="AO323" s="3">
        <v>1</v>
      </c>
      <c r="AP323" s="3">
        <v>1</v>
      </c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</row>
    <row r="324" spans="1:57" x14ac:dyDescent="0.3">
      <c r="A324" s="25" t="s">
        <v>339</v>
      </c>
      <c r="B324" s="3">
        <v>22</v>
      </c>
      <c r="C324" s="25" t="s">
        <v>391</v>
      </c>
      <c r="D324" s="25" t="s">
        <v>392</v>
      </c>
      <c r="E324" s="3"/>
      <c r="F324" s="3"/>
      <c r="G324" s="3"/>
      <c r="H324" s="3"/>
      <c r="I324" s="3"/>
      <c r="J324" s="3"/>
      <c r="K324" s="27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>
        <v>1</v>
      </c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</row>
    <row r="325" spans="1:57" x14ac:dyDescent="0.3">
      <c r="A325" s="25" t="s">
        <v>339</v>
      </c>
      <c r="B325" s="3">
        <v>22</v>
      </c>
      <c r="C325" s="3" t="s">
        <v>364</v>
      </c>
      <c r="D325" s="25" t="s">
        <v>392</v>
      </c>
      <c r="E325" s="3"/>
      <c r="F325" s="3"/>
      <c r="G325" s="3"/>
      <c r="H325" s="3"/>
      <c r="I325" s="3"/>
      <c r="J325" s="3"/>
      <c r="K325" s="27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1</v>
      </c>
      <c r="AD325" s="3"/>
      <c r="AE325" s="3">
        <v>1</v>
      </c>
      <c r="AF325" s="3">
        <v>1</v>
      </c>
      <c r="AG325" s="3">
        <v>1</v>
      </c>
      <c r="AH325" s="3"/>
      <c r="AI325" s="3">
        <v>1</v>
      </c>
      <c r="AJ325" s="3">
        <v>1</v>
      </c>
      <c r="AK325" s="3">
        <v>1</v>
      </c>
      <c r="AL325" s="3">
        <v>1</v>
      </c>
      <c r="AM325" s="3"/>
      <c r="AN325" s="3"/>
      <c r="AO325" s="3">
        <v>1</v>
      </c>
      <c r="AP325" s="3">
        <v>1</v>
      </c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</row>
    <row r="326" spans="1:57" x14ac:dyDescent="0.3">
      <c r="A326" s="25" t="s">
        <v>339</v>
      </c>
      <c r="B326" s="3">
        <v>31</v>
      </c>
      <c r="C326" s="3" t="s">
        <v>365</v>
      </c>
      <c r="D326" s="25" t="s">
        <v>297</v>
      </c>
      <c r="E326" s="3"/>
      <c r="F326" s="3"/>
      <c r="G326" s="3"/>
      <c r="H326" s="3"/>
      <c r="I326" s="3"/>
      <c r="J326" s="3"/>
      <c r="K326" s="27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>
        <v>1</v>
      </c>
      <c r="AA326" s="3">
        <v>1</v>
      </c>
      <c r="AB326" s="3">
        <v>1</v>
      </c>
      <c r="AC326" s="3">
        <v>1</v>
      </c>
      <c r="AD326" s="3">
        <v>1</v>
      </c>
      <c r="AE326" s="3">
        <v>1</v>
      </c>
      <c r="AF326" s="3">
        <v>1</v>
      </c>
      <c r="AG326" s="3"/>
      <c r="AH326" s="3">
        <v>1</v>
      </c>
      <c r="AI326" s="3">
        <v>1</v>
      </c>
      <c r="AJ326" s="3">
        <v>1</v>
      </c>
      <c r="AK326" s="3">
        <v>1</v>
      </c>
      <c r="AL326" s="3">
        <v>1</v>
      </c>
      <c r="AM326" s="3"/>
      <c r="AN326" s="3">
        <v>1</v>
      </c>
      <c r="AO326" s="3">
        <v>1</v>
      </c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</row>
    <row r="327" spans="1:57" x14ac:dyDescent="0.3">
      <c r="A327" s="25" t="s">
        <v>339</v>
      </c>
      <c r="B327" s="3">
        <v>31</v>
      </c>
      <c r="C327" s="25" t="s">
        <v>419</v>
      </c>
      <c r="D327" s="25" t="s">
        <v>420</v>
      </c>
      <c r="E327" s="3"/>
      <c r="F327" s="3"/>
      <c r="G327" s="3"/>
      <c r="H327" s="3"/>
      <c r="I327" s="3"/>
      <c r="J327" s="3"/>
      <c r="K327" s="27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>
        <v>1</v>
      </c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</row>
    <row r="328" spans="1:57" x14ac:dyDescent="0.3">
      <c r="A328" s="25" t="s">
        <v>339</v>
      </c>
      <c r="B328" s="3">
        <v>32</v>
      </c>
      <c r="C328" s="3" t="s">
        <v>366</v>
      </c>
      <c r="D328" s="25" t="s">
        <v>382</v>
      </c>
      <c r="E328" s="3"/>
      <c r="F328" s="3"/>
      <c r="G328" s="3"/>
      <c r="H328" s="3"/>
      <c r="I328" s="3"/>
      <c r="J328" s="3"/>
      <c r="K328" s="27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>
        <v>1</v>
      </c>
      <c r="AB328" s="3"/>
      <c r="AC328" s="3"/>
      <c r="AD328" s="3"/>
      <c r="AE328" s="3">
        <v>1</v>
      </c>
      <c r="AF328" s="3"/>
      <c r="AG328" s="3"/>
      <c r="AH328" s="3">
        <v>1</v>
      </c>
      <c r="AI328" s="3"/>
      <c r="AJ328" s="3">
        <v>1</v>
      </c>
      <c r="AK328" s="3"/>
      <c r="AL328" s="3"/>
      <c r="AM328" s="3"/>
      <c r="AN328" s="3"/>
      <c r="AO328" s="3">
        <v>1</v>
      </c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</row>
    <row r="329" spans="1:57" x14ac:dyDescent="0.3">
      <c r="A329" s="25" t="s">
        <v>339</v>
      </c>
      <c r="B329" s="3">
        <v>32</v>
      </c>
      <c r="C329" s="3" t="s">
        <v>367</v>
      </c>
      <c r="D329" s="25" t="s">
        <v>298</v>
      </c>
      <c r="E329" s="3"/>
      <c r="F329" s="3"/>
      <c r="G329" s="3"/>
      <c r="H329" s="3"/>
      <c r="I329" s="3"/>
      <c r="J329" s="3"/>
      <c r="K329" s="27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</row>
    <row r="330" spans="1:57" x14ac:dyDescent="0.3">
      <c r="A330" s="25" t="s">
        <v>339</v>
      </c>
      <c r="B330" s="3">
        <v>32</v>
      </c>
      <c r="C330" s="3" t="s">
        <v>237</v>
      </c>
      <c r="D330" s="25" t="s">
        <v>383</v>
      </c>
      <c r="E330" s="3"/>
      <c r="F330" s="3"/>
      <c r="G330" s="3"/>
      <c r="H330" s="3"/>
      <c r="I330" s="3"/>
      <c r="J330" s="3"/>
      <c r="K330" s="27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</row>
    <row r="331" spans="1:57" x14ac:dyDescent="0.3">
      <c r="A331" s="25" t="s">
        <v>339</v>
      </c>
      <c r="B331" s="3">
        <v>32</v>
      </c>
      <c r="C331" s="3" t="s">
        <v>368</v>
      </c>
      <c r="D331" s="25" t="s">
        <v>384</v>
      </c>
      <c r="E331" s="3"/>
      <c r="F331" s="3"/>
      <c r="G331" s="3"/>
      <c r="H331" s="3"/>
      <c r="I331" s="3"/>
      <c r="J331" s="3"/>
      <c r="K331" s="27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1</v>
      </c>
      <c r="AD331" s="3"/>
      <c r="AE331" s="3"/>
      <c r="AF331" s="3"/>
      <c r="AG331" s="3"/>
      <c r="AH331" s="3">
        <v>1</v>
      </c>
      <c r="AI331" s="3"/>
      <c r="AJ331" s="3">
        <v>1</v>
      </c>
      <c r="AK331" s="3"/>
      <c r="AL331" s="3"/>
      <c r="AM331" s="3"/>
      <c r="AN331" s="3"/>
      <c r="AO331" s="3"/>
      <c r="AP331" s="3">
        <v>1</v>
      </c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</row>
    <row r="332" spans="1:57" x14ac:dyDescent="0.3">
      <c r="A332" s="25" t="s">
        <v>339</v>
      </c>
      <c r="B332" s="3">
        <v>32</v>
      </c>
      <c r="C332" s="3" t="s">
        <v>369</v>
      </c>
      <c r="D332" s="25" t="s">
        <v>298</v>
      </c>
      <c r="E332" s="3"/>
      <c r="F332" s="3"/>
      <c r="G332" s="3"/>
      <c r="H332" s="3"/>
      <c r="I332" s="3"/>
      <c r="J332" s="3"/>
      <c r="K332" s="27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1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</row>
    <row r="333" spans="1:57" x14ac:dyDescent="0.3">
      <c r="A333" s="25" t="s">
        <v>339</v>
      </c>
      <c r="B333" s="3">
        <v>32</v>
      </c>
      <c r="C333" s="25" t="s">
        <v>405</v>
      </c>
      <c r="D333" s="25" t="s">
        <v>406</v>
      </c>
      <c r="E333" s="3"/>
      <c r="F333" s="3"/>
      <c r="G333" s="3"/>
      <c r="H333" s="3"/>
      <c r="I333" s="3"/>
      <c r="J333" s="3"/>
      <c r="K333" s="27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>
        <v>1</v>
      </c>
      <c r="AN333" s="3">
        <v>1</v>
      </c>
      <c r="AO333" s="3">
        <v>1</v>
      </c>
      <c r="AP333" s="3">
        <v>1</v>
      </c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</row>
    <row r="334" spans="1:57" x14ac:dyDescent="0.3">
      <c r="A334" s="25" t="s">
        <v>339</v>
      </c>
      <c r="B334" s="3">
        <v>32</v>
      </c>
      <c r="C334" s="25" t="s">
        <v>417</v>
      </c>
      <c r="D334" s="25" t="s">
        <v>418</v>
      </c>
      <c r="E334" s="3"/>
      <c r="F334" s="3"/>
      <c r="G334" s="3"/>
      <c r="H334" s="3"/>
      <c r="I334" s="3"/>
      <c r="J334" s="3"/>
      <c r="K334" s="27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>
        <v>1</v>
      </c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</row>
    <row r="335" spans="1:57" x14ac:dyDescent="0.3">
      <c r="A335" s="25" t="s">
        <v>339</v>
      </c>
      <c r="B335" s="3">
        <v>41</v>
      </c>
      <c r="C335" s="3" t="s">
        <v>370</v>
      </c>
      <c r="D335" s="25" t="s">
        <v>295</v>
      </c>
      <c r="E335" s="3"/>
      <c r="F335" s="3"/>
      <c r="G335" s="3"/>
      <c r="H335" s="3"/>
      <c r="I335" s="3"/>
      <c r="J335" s="3"/>
      <c r="K335" s="27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>
        <v>1</v>
      </c>
      <c r="AB335" s="3">
        <v>1</v>
      </c>
      <c r="AC335" s="3">
        <v>1</v>
      </c>
      <c r="AD335" s="3">
        <v>1</v>
      </c>
      <c r="AE335" s="3">
        <v>1</v>
      </c>
      <c r="AF335" s="3">
        <v>1</v>
      </c>
      <c r="AG335" s="3">
        <v>1</v>
      </c>
      <c r="AH335" s="3"/>
      <c r="AI335" s="3"/>
      <c r="AJ335" s="3"/>
      <c r="AK335" s="3">
        <v>1</v>
      </c>
      <c r="AL335" s="3"/>
      <c r="AM335" s="3">
        <v>1</v>
      </c>
      <c r="AN335" s="3">
        <v>1</v>
      </c>
      <c r="AO335" s="3">
        <v>1</v>
      </c>
      <c r="AP335" s="3">
        <v>1</v>
      </c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</row>
    <row r="336" spans="1:57" x14ac:dyDescent="0.3">
      <c r="A336" s="25" t="s">
        <v>339</v>
      </c>
      <c r="B336" s="3">
        <v>41</v>
      </c>
      <c r="C336" s="25" t="s">
        <v>394</v>
      </c>
      <c r="D336" s="25" t="s">
        <v>378</v>
      </c>
      <c r="E336" s="3"/>
      <c r="F336" s="3"/>
      <c r="G336" s="3"/>
      <c r="H336" s="3"/>
      <c r="I336" s="3"/>
      <c r="J336" s="3"/>
      <c r="K336" s="27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>
        <v>1</v>
      </c>
      <c r="AI336" s="3">
        <v>1</v>
      </c>
      <c r="AJ336" s="3">
        <v>1</v>
      </c>
      <c r="AK336" s="3">
        <v>1</v>
      </c>
      <c r="AL336" s="3">
        <v>1</v>
      </c>
      <c r="AM336" s="3">
        <v>1</v>
      </c>
      <c r="AN336" s="3">
        <v>1</v>
      </c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</row>
    <row r="337" spans="1:57" x14ac:dyDescent="0.3">
      <c r="A337" s="25" t="s">
        <v>339</v>
      </c>
      <c r="B337" s="3">
        <v>42</v>
      </c>
      <c r="C337" s="25" t="s">
        <v>412</v>
      </c>
      <c r="D337" s="25" t="s">
        <v>414</v>
      </c>
      <c r="E337" s="3"/>
      <c r="F337" s="3"/>
      <c r="G337" s="3"/>
      <c r="H337" s="3"/>
      <c r="I337" s="3"/>
      <c r="J337" s="3"/>
      <c r="K337" s="27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>
        <v>1</v>
      </c>
      <c r="AM337" s="3">
        <v>1</v>
      </c>
      <c r="AN337" s="3">
        <v>1</v>
      </c>
      <c r="AO337" s="3">
        <v>1</v>
      </c>
      <c r="AP337" s="3">
        <v>1</v>
      </c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</row>
    <row r="338" spans="1:57" x14ac:dyDescent="0.3">
      <c r="A338" s="25" t="s">
        <v>339</v>
      </c>
      <c r="B338" s="3">
        <v>42</v>
      </c>
      <c r="C338" s="25" t="s">
        <v>413</v>
      </c>
      <c r="D338" s="25" t="s">
        <v>412</v>
      </c>
      <c r="E338" s="3"/>
      <c r="F338" s="3"/>
      <c r="G338" s="3"/>
      <c r="H338" s="3"/>
      <c r="I338" s="3"/>
      <c r="J338" s="3"/>
      <c r="K338" s="27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>
        <v>1</v>
      </c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</row>
    <row r="339" spans="1:57" x14ac:dyDescent="0.3">
      <c r="A339" s="25" t="s">
        <v>339</v>
      </c>
      <c r="B339" s="3">
        <v>43</v>
      </c>
      <c r="C339" s="25" t="s">
        <v>415</v>
      </c>
      <c r="D339" s="25" t="s">
        <v>416</v>
      </c>
      <c r="E339" s="3"/>
      <c r="F339" s="3"/>
      <c r="G339" s="3"/>
      <c r="H339" s="3"/>
      <c r="I339" s="3"/>
      <c r="J339" s="3"/>
      <c r="K339" s="27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>
        <v>1</v>
      </c>
      <c r="AO339" s="3">
        <v>1</v>
      </c>
      <c r="AP339" s="3">
        <v>1</v>
      </c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</row>
    <row r="340" spans="1:57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27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</row>
  </sheetData>
  <autoFilter ref="A7:BC299" xr:uid="{00000000-0009-0000-0000-000001000000}"/>
  <mergeCells count="1">
    <mergeCell ref="A9:D9"/>
  </mergeCells>
  <phoneticPr fontId="7" type="noConversion"/>
  <pageMargins left="0.69972223043441772" right="0.69972223043441772" top="0.75" bottom="0.75" header="0.30000001192092896" footer="0.30000001192092896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D966"/>
  </sheetPr>
  <dimension ref="A1:BB315"/>
  <sheetViews>
    <sheetView zoomScale="82" zoomScaleNormal="82" zoomScaleSheetLayoutView="82" workbookViewId="0">
      <pane xSplit="2" ySplit="10" topLeftCell="C89" activePane="bottomRight" state="frozen"/>
      <selection pane="topRight"/>
      <selection pane="bottomLeft"/>
      <selection pane="bottomRight" activeCell="D303" sqref="D303"/>
    </sheetView>
  </sheetViews>
  <sheetFormatPr defaultColWidth="9" defaultRowHeight="16.5" x14ac:dyDescent="0.3"/>
  <cols>
    <col min="1" max="1" width="11.75" style="1" bestFit="1" customWidth="1"/>
    <col min="2" max="2" width="13.875" bestFit="1" customWidth="1"/>
    <col min="3" max="3" width="11.5" style="1" bestFit="1" customWidth="1"/>
    <col min="4" max="4" width="10.625" style="1" bestFit="1" customWidth="1"/>
    <col min="5" max="5" width="10.75" style="1" bestFit="1" customWidth="1"/>
    <col min="6" max="10" width="10" style="1" bestFit="1" customWidth="1"/>
    <col min="11" max="11" width="9.875" style="1" bestFit="1" customWidth="1"/>
    <col min="12" max="15" width="10" style="1" bestFit="1" customWidth="1"/>
    <col min="16" max="23" width="10.625" bestFit="1" customWidth="1"/>
    <col min="24" max="37" width="9.75" bestFit="1" customWidth="1"/>
    <col min="38" max="54" width="10.25" bestFit="1" customWidth="1"/>
  </cols>
  <sheetData>
    <row r="1" spans="1:54" ht="16.5" hidden="1" customHeight="1" x14ac:dyDescent="0.3"/>
    <row r="2" spans="1:54" ht="16.5" hidden="1" customHeight="1" x14ac:dyDescent="0.3"/>
    <row r="3" spans="1:54" ht="16.5" hidden="1" customHeight="1" x14ac:dyDescent="0.3"/>
    <row r="4" spans="1:54" ht="16.5" hidden="1" customHeight="1" x14ac:dyDescent="0.3"/>
    <row r="5" spans="1:54" ht="16.5" hidden="1" customHeight="1" x14ac:dyDescent="0.3"/>
    <row r="6" spans="1:54" ht="16.5" hidden="1" customHeight="1" x14ac:dyDescent="0.3"/>
    <row r="7" spans="1:54" s="2" customFormat="1" x14ac:dyDescent="0.3">
      <c r="A7" s="9"/>
      <c r="B7" s="9"/>
      <c r="C7" s="9">
        <f>DATEVALUE(C8)</f>
        <v>45994</v>
      </c>
      <c r="D7" s="9">
        <f t="shared" ref="D7:M7" si="0">DATEVALUE(D8)</f>
        <v>46001</v>
      </c>
      <c r="E7" s="9">
        <f t="shared" si="0"/>
        <v>46008</v>
      </c>
      <c r="F7" s="9">
        <f t="shared" si="0"/>
        <v>46015</v>
      </c>
      <c r="G7" s="9">
        <f t="shared" si="0"/>
        <v>46022</v>
      </c>
      <c r="H7" s="9">
        <f t="shared" si="0"/>
        <v>46029</v>
      </c>
      <c r="I7" s="9">
        <f t="shared" si="0"/>
        <v>46036</v>
      </c>
      <c r="J7" s="9">
        <f t="shared" si="0"/>
        <v>46043</v>
      </c>
      <c r="K7" s="9">
        <f t="shared" si="0"/>
        <v>46050</v>
      </c>
      <c r="L7" s="9">
        <f t="shared" si="0"/>
        <v>46057</v>
      </c>
      <c r="M7" s="9">
        <f t="shared" si="0"/>
        <v>46064</v>
      </c>
      <c r="N7" s="9">
        <f>DATEVALUE(N8)</f>
        <v>46071</v>
      </c>
      <c r="O7" s="9">
        <f>DATEVALUE(O8)</f>
        <v>46078</v>
      </c>
      <c r="P7" s="9">
        <f t="shared" ref="P7:BB7" si="1">DATEVALUE(P8)</f>
        <v>46085</v>
      </c>
      <c r="Q7" s="9">
        <f t="shared" si="1"/>
        <v>46092</v>
      </c>
      <c r="R7" s="9">
        <f t="shared" si="1"/>
        <v>46099</v>
      </c>
      <c r="S7" s="9">
        <f t="shared" si="1"/>
        <v>46106</v>
      </c>
      <c r="T7" s="9">
        <f t="shared" si="1"/>
        <v>46113</v>
      </c>
      <c r="U7" s="9">
        <f t="shared" si="1"/>
        <v>46120</v>
      </c>
      <c r="V7" s="9">
        <f t="shared" si="1"/>
        <v>46127</v>
      </c>
      <c r="W7" s="9">
        <f t="shared" si="1"/>
        <v>46134</v>
      </c>
      <c r="X7" s="9">
        <f t="shared" si="1"/>
        <v>46141</v>
      </c>
      <c r="Y7" s="9">
        <f t="shared" si="1"/>
        <v>46148</v>
      </c>
      <c r="Z7" s="9">
        <f t="shared" si="1"/>
        <v>46155</v>
      </c>
      <c r="AA7" s="9">
        <f t="shared" si="1"/>
        <v>46162</v>
      </c>
      <c r="AB7" s="9">
        <f t="shared" si="1"/>
        <v>46169</v>
      </c>
      <c r="AC7" s="9">
        <f t="shared" si="1"/>
        <v>46176</v>
      </c>
      <c r="AD7" s="9">
        <f t="shared" si="1"/>
        <v>46183</v>
      </c>
      <c r="AE7" s="9">
        <f t="shared" si="1"/>
        <v>46190</v>
      </c>
      <c r="AF7" s="9">
        <f t="shared" si="1"/>
        <v>46197</v>
      </c>
      <c r="AG7" s="9">
        <f t="shared" si="1"/>
        <v>46204</v>
      </c>
      <c r="AH7" s="9">
        <f t="shared" si="1"/>
        <v>46211</v>
      </c>
      <c r="AI7" s="9">
        <f t="shared" si="1"/>
        <v>46218</v>
      </c>
      <c r="AJ7" s="9">
        <f t="shared" si="1"/>
        <v>46225</v>
      </c>
      <c r="AK7" s="9">
        <f t="shared" si="1"/>
        <v>46232</v>
      </c>
      <c r="AL7" s="9">
        <f t="shared" si="1"/>
        <v>46239</v>
      </c>
      <c r="AM7" s="9">
        <f t="shared" si="1"/>
        <v>46246</v>
      </c>
      <c r="AN7" s="9">
        <f t="shared" si="1"/>
        <v>46253</v>
      </c>
      <c r="AO7" s="9">
        <f t="shared" si="1"/>
        <v>46260</v>
      </c>
      <c r="AP7" s="9">
        <f t="shared" si="1"/>
        <v>46267</v>
      </c>
      <c r="AQ7" s="9">
        <f t="shared" si="1"/>
        <v>46274</v>
      </c>
      <c r="AR7" s="9">
        <f t="shared" si="1"/>
        <v>46281</v>
      </c>
      <c r="AS7" s="9">
        <f t="shared" si="1"/>
        <v>46288</v>
      </c>
      <c r="AT7" s="9">
        <f t="shared" si="1"/>
        <v>46295</v>
      </c>
      <c r="AU7" s="9">
        <f t="shared" si="1"/>
        <v>46302</v>
      </c>
      <c r="AV7" s="9">
        <f t="shared" si="1"/>
        <v>46309</v>
      </c>
      <c r="AW7" s="9">
        <f t="shared" si="1"/>
        <v>46316</v>
      </c>
      <c r="AX7" s="9">
        <f t="shared" si="1"/>
        <v>46323</v>
      </c>
      <c r="AY7" s="9">
        <f t="shared" si="1"/>
        <v>46330</v>
      </c>
      <c r="AZ7" s="9">
        <f t="shared" si="1"/>
        <v>46337</v>
      </c>
      <c r="BA7" s="9">
        <f t="shared" si="1"/>
        <v>46344</v>
      </c>
      <c r="BB7" s="9">
        <f t="shared" si="1"/>
        <v>46351</v>
      </c>
    </row>
    <row r="8" spans="1:54" s="2" customFormat="1" x14ac:dyDescent="0.3">
      <c r="A8" s="9"/>
      <c r="B8" s="9"/>
      <c r="C8" s="9" t="str">
        <f>TEXT(C10,"YY/MM/DD")</f>
        <v>25/12/03</v>
      </c>
      <c r="D8" s="9" t="str">
        <f>TEXT(D10,"YY/MM/DD")</f>
        <v>25/12/10</v>
      </c>
      <c r="E8" s="9" t="str">
        <f t="shared" ref="E8:M8" si="2">TEXT(E10,"YY/MM/DD")</f>
        <v>25/12/17</v>
      </c>
      <c r="F8" s="9" t="str">
        <f t="shared" si="2"/>
        <v>25/12/24</v>
      </c>
      <c r="G8" s="9" t="str">
        <f t="shared" si="2"/>
        <v>25/12/31</v>
      </c>
      <c r="H8" s="9" t="str">
        <f t="shared" si="2"/>
        <v>26/01/07</v>
      </c>
      <c r="I8" s="9" t="str">
        <f t="shared" si="2"/>
        <v>26/01/14</v>
      </c>
      <c r="J8" s="9" t="str">
        <f t="shared" si="2"/>
        <v>26/01/21</v>
      </c>
      <c r="K8" s="9" t="str">
        <f t="shared" si="2"/>
        <v>26/01/28</v>
      </c>
      <c r="L8" s="9" t="str">
        <f t="shared" si="2"/>
        <v>26/02/04</v>
      </c>
      <c r="M8" s="9" t="str">
        <f t="shared" si="2"/>
        <v>26/02/11</v>
      </c>
      <c r="N8" s="9" t="str">
        <f t="shared" ref="N8:W8" si="3">TEXT(N10,"YY/MM/DD")</f>
        <v>26/02/18</v>
      </c>
      <c r="O8" s="9" t="str">
        <f t="shared" si="3"/>
        <v>26/02/25</v>
      </c>
      <c r="P8" s="9" t="str">
        <f t="shared" si="3"/>
        <v>26/03/04</v>
      </c>
      <c r="Q8" s="9" t="str">
        <f t="shared" si="3"/>
        <v>26/03/11</v>
      </c>
      <c r="R8" s="9" t="str">
        <f t="shared" si="3"/>
        <v>26/03/18</v>
      </c>
      <c r="S8" s="9" t="str">
        <f t="shared" si="3"/>
        <v>26/03/25</v>
      </c>
      <c r="T8" s="9" t="str">
        <f t="shared" si="3"/>
        <v>26/04/01</v>
      </c>
      <c r="U8" s="9" t="str">
        <f t="shared" si="3"/>
        <v>26/04/08</v>
      </c>
      <c r="V8" s="9" t="str">
        <f t="shared" si="3"/>
        <v>26/04/15</v>
      </c>
      <c r="W8" s="9" t="str">
        <f t="shared" si="3"/>
        <v>26/04/22</v>
      </c>
      <c r="X8" s="9" t="str">
        <f t="shared" ref="X8:AK8" si="4">TEXT(X10,"YY/MM/DD")</f>
        <v>26/04/29</v>
      </c>
      <c r="Y8" s="9" t="str">
        <f t="shared" si="4"/>
        <v>26/05/06</v>
      </c>
      <c r="Z8" s="9" t="str">
        <f t="shared" si="4"/>
        <v>26/05/13</v>
      </c>
      <c r="AA8" s="9" t="str">
        <f t="shared" si="4"/>
        <v>26/05/20</v>
      </c>
      <c r="AB8" s="9" t="str">
        <f t="shared" si="4"/>
        <v>26/05/27</v>
      </c>
      <c r="AC8" s="9" t="str">
        <f t="shared" si="4"/>
        <v>26/06/03</v>
      </c>
      <c r="AD8" s="9" t="str">
        <f t="shared" si="4"/>
        <v>26/06/10</v>
      </c>
      <c r="AE8" s="9" t="str">
        <f t="shared" si="4"/>
        <v>26/06/17</v>
      </c>
      <c r="AF8" s="9" t="str">
        <f t="shared" si="4"/>
        <v>26/06/24</v>
      </c>
      <c r="AG8" s="9" t="str">
        <f t="shared" si="4"/>
        <v>26/07/01</v>
      </c>
      <c r="AH8" s="9" t="str">
        <f t="shared" si="4"/>
        <v>26/07/08</v>
      </c>
      <c r="AI8" s="9" t="str">
        <f t="shared" si="4"/>
        <v>26/07/15</v>
      </c>
      <c r="AJ8" s="9" t="str">
        <f t="shared" si="4"/>
        <v>26/07/22</v>
      </c>
      <c r="AK8" s="9" t="str">
        <f t="shared" si="4"/>
        <v>26/07/29</v>
      </c>
      <c r="AL8" s="9" t="str">
        <f t="shared" ref="AL8:BB8" si="5">TEXT(AL10,"YY/MM/DD")</f>
        <v>26/08/05</v>
      </c>
      <c r="AM8" s="9" t="str">
        <f t="shared" si="5"/>
        <v>26/08/12</v>
      </c>
      <c r="AN8" s="9" t="str">
        <f t="shared" si="5"/>
        <v>26/08/19</v>
      </c>
      <c r="AO8" s="9" t="str">
        <f t="shared" si="5"/>
        <v>26/08/26</v>
      </c>
      <c r="AP8" s="9" t="str">
        <f t="shared" si="5"/>
        <v>26/09/02</v>
      </c>
      <c r="AQ8" s="9" t="str">
        <f t="shared" si="5"/>
        <v>26/09/09</v>
      </c>
      <c r="AR8" s="9" t="str">
        <f t="shared" si="5"/>
        <v>26/09/16</v>
      </c>
      <c r="AS8" s="9" t="str">
        <f t="shared" si="5"/>
        <v>26/09/23</v>
      </c>
      <c r="AT8" s="9" t="str">
        <f t="shared" si="5"/>
        <v>26/09/30</v>
      </c>
      <c r="AU8" s="9" t="str">
        <f t="shared" si="5"/>
        <v>26/10/07</v>
      </c>
      <c r="AV8" s="9" t="str">
        <f t="shared" si="5"/>
        <v>26/10/14</v>
      </c>
      <c r="AW8" s="9" t="str">
        <f t="shared" si="5"/>
        <v>26/10/21</v>
      </c>
      <c r="AX8" s="9" t="str">
        <f t="shared" si="5"/>
        <v>26/10/28</v>
      </c>
      <c r="AY8" s="9" t="str">
        <f t="shared" si="5"/>
        <v>26/11/04</v>
      </c>
      <c r="AZ8" s="9" t="str">
        <f t="shared" si="5"/>
        <v>26/11/11</v>
      </c>
      <c r="BA8" s="9" t="str">
        <f t="shared" si="5"/>
        <v>26/11/18</v>
      </c>
      <c r="BB8" s="9" t="str">
        <f t="shared" si="5"/>
        <v>26/11/25</v>
      </c>
    </row>
    <row r="9" spans="1:54" x14ac:dyDescent="0.3">
      <c r="A9" s="133" t="s">
        <v>8</v>
      </c>
      <c r="B9" s="133"/>
      <c r="C9" s="7">
        <f>COUNTA(C11:C291)</f>
        <v>0</v>
      </c>
      <c r="D9" s="7">
        <f>COUNTA(D11:D291)</f>
        <v>0</v>
      </c>
      <c r="E9" s="7">
        <f>COUNTA(E11:E291)</f>
        <v>0</v>
      </c>
      <c r="F9" s="7">
        <f>COUNTA(F11:F291)</f>
        <v>0</v>
      </c>
      <c r="G9" s="7">
        <f>COUNTA(G11:G291)</f>
        <v>0</v>
      </c>
      <c r="H9" s="7">
        <f>COUNTA(H11:H298)</f>
        <v>0</v>
      </c>
      <c r="I9" s="7">
        <f t="shared" ref="I9:BB9" si="6">COUNTA(I11:I298)</f>
        <v>0</v>
      </c>
      <c r="J9" s="7">
        <f t="shared" si="6"/>
        <v>0</v>
      </c>
      <c r="K9" s="7">
        <f t="shared" si="6"/>
        <v>0</v>
      </c>
      <c r="L9" s="7">
        <f t="shared" si="6"/>
        <v>0</v>
      </c>
      <c r="M9" s="7">
        <f t="shared" si="6"/>
        <v>0</v>
      </c>
      <c r="N9" s="7">
        <f t="shared" si="6"/>
        <v>0</v>
      </c>
      <c r="O9" s="7">
        <f t="shared" si="6"/>
        <v>0</v>
      </c>
      <c r="P9" s="7">
        <f t="shared" si="6"/>
        <v>0</v>
      </c>
      <c r="Q9" s="7">
        <f t="shared" si="6"/>
        <v>0</v>
      </c>
      <c r="R9" s="7">
        <f t="shared" si="6"/>
        <v>0</v>
      </c>
      <c r="S9" s="7">
        <f t="shared" si="6"/>
        <v>0</v>
      </c>
      <c r="T9" s="7">
        <f t="shared" si="6"/>
        <v>0</v>
      </c>
      <c r="U9" s="7">
        <f t="shared" si="6"/>
        <v>0</v>
      </c>
      <c r="V9" s="7">
        <f t="shared" si="6"/>
        <v>0</v>
      </c>
      <c r="W9" s="7">
        <f t="shared" si="6"/>
        <v>0</v>
      </c>
      <c r="X9" s="7">
        <f t="shared" si="6"/>
        <v>0</v>
      </c>
      <c r="Y9" s="7">
        <f t="shared" si="6"/>
        <v>0</v>
      </c>
      <c r="Z9" s="7">
        <f t="shared" si="6"/>
        <v>0</v>
      </c>
      <c r="AA9" s="7">
        <f t="shared" si="6"/>
        <v>0</v>
      </c>
      <c r="AB9" s="7">
        <f t="shared" si="6"/>
        <v>0</v>
      </c>
      <c r="AC9" s="7">
        <f t="shared" si="6"/>
        <v>0</v>
      </c>
      <c r="AD9" s="7">
        <f t="shared" si="6"/>
        <v>0</v>
      </c>
      <c r="AE9" s="7">
        <f t="shared" si="6"/>
        <v>0</v>
      </c>
      <c r="AF9" s="7">
        <f t="shared" si="6"/>
        <v>0</v>
      </c>
      <c r="AG9" s="7">
        <f t="shared" si="6"/>
        <v>0</v>
      </c>
      <c r="AH9" s="7">
        <f t="shared" si="6"/>
        <v>0</v>
      </c>
      <c r="AI9" s="7">
        <f t="shared" si="6"/>
        <v>0</v>
      </c>
      <c r="AJ9" s="7">
        <f t="shared" si="6"/>
        <v>0</v>
      </c>
      <c r="AK9" s="7">
        <f t="shared" si="6"/>
        <v>0</v>
      </c>
      <c r="AL9" s="7">
        <f t="shared" si="6"/>
        <v>0</v>
      </c>
      <c r="AM9" s="7">
        <f t="shared" si="6"/>
        <v>0</v>
      </c>
      <c r="AN9" s="7">
        <f t="shared" si="6"/>
        <v>0</v>
      </c>
      <c r="AO9" s="7">
        <f t="shared" si="6"/>
        <v>0</v>
      </c>
      <c r="AP9" s="7">
        <f t="shared" si="6"/>
        <v>0</v>
      </c>
      <c r="AQ9" s="7">
        <f t="shared" si="6"/>
        <v>0</v>
      </c>
      <c r="AR9" s="7">
        <f t="shared" si="6"/>
        <v>0</v>
      </c>
      <c r="AS9" s="7">
        <f t="shared" si="6"/>
        <v>0</v>
      </c>
      <c r="AT9" s="7">
        <f t="shared" si="6"/>
        <v>0</v>
      </c>
      <c r="AU9" s="7">
        <f t="shared" si="6"/>
        <v>0</v>
      </c>
      <c r="AV9" s="7">
        <f t="shared" si="6"/>
        <v>0</v>
      </c>
      <c r="AW9" s="7">
        <f t="shared" si="6"/>
        <v>0</v>
      </c>
      <c r="AX9" s="7">
        <f t="shared" si="6"/>
        <v>0</v>
      </c>
      <c r="AY9" s="7">
        <f t="shared" si="6"/>
        <v>0</v>
      </c>
      <c r="AZ9" s="7">
        <f t="shared" si="6"/>
        <v>0</v>
      </c>
      <c r="BA9" s="7">
        <f t="shared" si="6"/>
        <v>0</v>
      </c>
      <c r="BB9" s="7">
        <f t="shared" si="6"/>
        <v>0</v>
      </c>
    </row>
    <row r="10" spans="1:54" x14ac:dyDescent="0.3">
      <c r="A10" s="8" t="s">
        <v>201</v>
      </c>
      <c r="B10" s="8" t="s">
        <v>212</v>
      </c>
      <c r="C10" s="6">
        <v>45994</v>
      </c>
      <c r="D10" s="6">
        <v>46001</v>
      </c>
      <c r="E10" s="6">
        <v>46008</v>
      </c>
      <c r="F10" s="6">
        <v>46015</v>
      </c>
      <c r="G10" s="6">
        <v>46022</v>
      </c>
      <c r="H10" s="6">
        <v>46029</v>
      </c>
      <c r="I10" s="6">
        <v>46036</v>
      </c>
      <c r="J10" s="6">
        <v>46043</v>
      </c>
      <c r="K10" s="6">
        <v>46050</v>
      </c>
      <c r="L10" s="6">
        <v>46057</v>
      </c>
      <c r="M10" s="6">
        <v>46064</v>
      </c>
      <c r="N10" s="6">
        <v>46071</v>
      </c>
      <c r="O10" s="6">
        <v>46078</v>
      </c>
      <c r="P10" s="6">
        <v>46085</v>
      </c>
      <c r="Q10" s="6">
        <v>46092</v>
      </c>
      <c r="R10" s="6">
        <v>46099</v>
      </c>
      <c r="S10" s="6">
        <v>46106</v>
      </c>
      <c r="T10" s="6">
        <v>46113</v>
      </c>
      <c r="U10" s="6">
        <v>46120</v>
      </c>
      <c r="V10" s="6">
        <v>46127</v>
      </c>
      <c r="W10" s="6">
        <v>46134</v>
      </c>
      <c r="X10" s="6">
        <v>46141</v>
      </c>
      <c r="Y10" s="6">
        <v>46148</v>
      </c>
      <c r="Z10" s="6">
        <v>46155</v>
      </c>
      <c r="AA10" s="6">
        <v>46162</v>
      </c>
      <c r="AB10" s="6">
        <v>46169</v>
      </c>
      <c r="AC10" s="6">
        <v>46176</v>
      </c>
      <c r="AD10" s="6">
        <v>46183</v>
      </c>
      <c r="AE10" s="6">
        <v>46190</v>
      </c>
      <c r="AF10" s="6">
        <v>46197</v>
      </c>
      <c r="AG10" s="6">
        <v>46204</v>
      </c>
      <c r="AH10" s="6">
        <v>46211</v>
      </c>
      <c r="AI10" s="6">
        <v>46218</v>
      </c>
      <c r="AJ10" s="6">
        <v>46225</v>
      </c>
      <c r="AK10" s="6">
        <v>46232</v>
      </c>
      <c r="AL10" s="6">
        <v>46239</v>
      </c>
      <c r="AM10" s="6">
        <v>46246</v>
      </c>
      <c r="AN10" s="6">
        <v>46253</v>
      </c>
      <c r="AO10" s="6">
        <v>46260</v>
      </c>
      <c r="AP10" s="6">
        <v>46267</v>
      </c>
      <c r="AQ10" s="6">
        <v>46274</v>
      </c>
      <c r="AR10" s="6">
        <v>46281</v>
      </c>
      <c r="AS10" s="6">
        <v>46288</v>
      </c>
      <c r="AT10" s="6">
        <v>46295</v>
      </c>
      <c r="AU10" s="6">
        <v>46302</v>
      </c>
      <c r="AV10" s="6">
        <v>46309</v>
      </c>
      <c r="AW10" s="6">
        <v>46316</v>
      </c>
      <c r="AX10" s="6">
        <v>46323</v>
      </c>
      <c r="AY10" s="6">
        <v>46330</v>
      </c>
      <c r="AZ10" s="6">
        <v>46337</v>
      </c>
      <c r="BA10" s="6">
        <v>46344</v>
      </c>
      <c r="BB10" s="6">
        <v>46351</v>
      </c>
    </row>
    <row r="11" spans="1:54" x14ac:dyDescent="0.3">
      <c r="A11" s="5">
        <v>11</v>
      </c>
      <c r="B11" s="3" t="str">
        <f>data_주일!D11</f>
        <v>임준석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11"/>
      <c r="AG11" s="3"/>
      <c r="AH11" s="11"/>
      <c r="AI11" s="3"/>
      <c r="AJ11" s="3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</row>
    <row r="12" spans="1:54" x14ac:dyDescent="0.3">
      <c r="A12" s="5">
        <v>11</v>
      </c>
      <c r="B12" s="3" t="str">
        <f>data_주일!D12</f>
        <v>장관익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11"/>
      <c r="AG12" s="11"/>
      <c r="AH12" s="11"/>
      <c r="AI12" s="3"/>
      <c r="AJ12" s="3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</row>
    <row r="13" spans="1:54" x14ac:dyDescent="0.3">
      <c r="A13" s="5">
        <v>11</v>
      </c>
      <c r="B13" s="3" t="str">
        <f>data_주일!D13</f>
        <v>김성권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11"/>
      <c r="Y13" s="11"/>
      <c r="Z13" s="11"/>
      <c r="AA13" s="11"/>
      <c r="AB13" s="3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</row>
    <row r="14" spans="1:54" x14ac:dyDescent="0.3">
      <c r="A14" s="5">
        <v>11</v>
      </c>
      <c r="B14" s="3" t="str">
        <f>data_주일!D14</f>
        <v>김성엽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1"/>
      <c r="Y14" s="11"/>
      <c r="Z14" s="11"/>
      <c r="AA14" s="11"/>
      <c r="AB14" s="3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</row>
    <row r="15" spans="1:54" x14ac:dyDescent="0.3">
      <c r="A15" s="5">
        <v>11</v>
      </c>
      <c r="B15" s="3" t="str">
        <f>data_주일!D15</f>
        <v>변교현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11"/>
      <c r="Y15" s="3"/>
      <c r="Z15" s="3"/>
      <c r="AA15" s="3"/>
      <c r="AB15" s="3"/>
      <c r="AC15" s="3"/>
      <c r="AD15" s="3"/>
      <c r="AE15" s="3"/>
      <c r="AF15" s="11"/>
      <c r="AG15" s="3"/>
      <c r="AH15" s="11"/>
      <c r="AI15" s="3"/>
      <c r="AJ15" s="3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 spans="1:54" x14ac:dyDescent="0.3">
      <c r="A16" s="5">
        <v>11</v>
      </c>
      <c r="B16" s="3" t="str">
        <f>data_주일!D16</f>
        <v>서일환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11"/>
      <c r="AG16" s="3"/>
      <c r="AH16" s="11"/>
      <c r="AI16" s="3"/>
      <c r="AJ16" s="3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</row>
    <row r="17" spans="1:54" x14ac:dyDescent="0.3">
      <c r="A17" s="5">
        <v>11</v>
      </c>
      <c r="B17" s="3" t="str">
        <f>data_주일!D17</f>
        <v>양현직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</row>
    <row r="18" spans="1:54" x14ac:dyDescent="0.3">
      <c r="A18" s="5">
        <v>11</v>
      </c>
      <c r="B18" s="3" t="str">
        <f>data_주일!D18</f>
        <v>임용열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</row>
    <row r="19" spans="1:54" x14ac:dyDescent="0.3">
      <c r="A19" s="5">
        <v>11</v>
      </c>
      <c r="B19" s="3" t="str">
        <f>data_주일!D19</f>
        <v>전진복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</row>
    <row r="20" spans="1:54" x14ac:dyDescent="0.3">
      <c r="A20" s="5">
        <v>11</v>
      </c>
      <c r="B20" s="3" t="str">
        <f>data_주일!D20</f>
        <v>조경식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</row>
    <row r="21" spans="1:54" x14ac:dyDescent="0.3">
      <c r="A21" s="5">
        <v>11</v>
      </c>
      <c r="B21" s="3" t="str">
        <f>data_주일!D21</f>
        <v>이지영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11"/>
      <c r="AE21" s="3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</row>
    <row r="22" spans="1:54" x14ac:dyDescent="0.3">
      <c r="A22" s="3">
        <v>11</v>
      </c>
      <c r="B22" s="3" t="str">
        <f>data_주일!D22</f>
        <v>김동순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11"/>
      <c r="AG22" s="3"/>
      <c r="AH22" s="11"/>
      <c r="AI22" s="3"/>
      <c r="AJ22" s="3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</row>
    <row r="23" spans="1:54" x14ac:dyDescent="0.3">
      <c r="A23" s="3">
        <v>11</v>
      </c>
      <c r="B23" s="3" t="str">
        <f>data_주일!D23</f>
        <v>김민경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1"/>
      <c r="AA23" s="11"/>
      <c r="AB23" s="3"/>
      <c r="AC23" s="3"/>
      <c r="AD23" s="3"/>
      <c r="AE23" s="3"/>
      <c r="AF23" s="11"/>
      <c r="AG23" s="11"/>
      <c r="AH23" s="11"/>
      <c r="AI23" s="3"/>
      <c r="AJ23" s="3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</row>
    <row r="24" spans="1:54" x14ac:dyDescent="0.3">
      <c r="A24" s="3">
        <v>11</v>
      </c>
      <c r="B24" s="3" t="str">
        <f>data_주일!D24</f>
        <v>노증미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11"/>
      <c r="Y24" s="11"/>
      <c r="Z24" s="11"/>
      <c r="AA24" s="11"/>
      <c r="AB24" s="11"/>
      <c r="AC24" s="3"/>
      <c r="AD24" s="11"/>
      <c r="AE24" s="3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</row>
    <row r="25" spans="1:54" x14ac:dyDescent="0.3">
      <c r="A25" s="3">
        <v>11</v>
      </c>
      <c r="B25" s="3" t="str">
        <f>data_주일!D25</f>
        <v>박경자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</row>
    <row r="26" spans="1:54" x14ac:dyDescent="0.3">
      <c r="A26" s="3">
        <v>11</v>
      </c>
      <c r="B26" s="3" t="str">
        <f>data_주일!D26</f>
        <v>박민경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11"/>
      <c r="AC26" s="11"/>
      <c r="AD26" s="3"/>
      <c r="AE26" s="3"/>
      <c r="AF26" s="11"/>
      <c r="AG26" s="3"/>
      <c r="AH26" s="11"/>
      <c r="AI26" s="3"/>
      <c r="AJ26" s="3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</row>
    <row r="27" spans="1:54" x14ac:dyDescent="0.3">
      <c r="A27" s="3">
        <v>11</v>
      </c>
      <c r="B27" s="3" t="str">
        <f>data_주일!D27</f>
        <v>서학미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11"/>
      <c r="AE27" s="3"/>
      <c r="AF27" s="11"/>
      <c r="AG27" s="3"/>
      <c r="AH27" s="11"/>
      <c r="AI27" s="3"/>
      <c r="AJ27" s="3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</row>
    <row r="28" spans="1:54" x14ac:dyDescent="0.3">
      <c r="A28" s="3">
        <v>11</v>
      </c>
      <c r="B28" s="3" t="str">
        <f>data_주일!D28</f>
        <v>손정미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11"/>
      <c r="Y28" s="3"/>
      <c r="Z28" s="3"/>
      <c r="AA28" s="3"/>
      <c r="AB28" s="3"/>
      <c r="AC28" s="3"/>
      <c r="AD28" s="11"/>
      <c r="AE28" s="3"/>
      <c r="AF28" s="11"/>
      <c r="AG28" s="3"/>
      <c r="AH28" s="11"/>
      <c r="AI28" s="3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</row>
    <row r="29" spans="1:54" x14ac:dyDescent="0.3">
      <c r="A29" s="3">
        <v>11</v>
      </c>
      <c r="B29" s="3" t="str">
        <f>data_주일!D29</f>
        <v>유애지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</row>
    <row r="30" spans="1:54" x14ac:dyDescent="0.3">
      <c r="A30" s="3">
        <v>11</v>
      </c>
      <c r="B30" s="3" t="str">
        <f>data_주일!D30</f>
        <v>장수영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11"/>
      <c r="AA30" s="3"/>
      <c r="AB30" s="3"/>
      <c r="AC30" s="3"/>
      <c r="AD30" s="3"/>
      <c r="AE30" s="3"/>
      <c r="AF30" s="11"/>
      <c r="AG30" s="3"/>
      <c r="AH30" s="11"/>
      <c r="AI30" s="3"/>
      <c r="AJ30" s="3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</row>
    <row r="31" spans="1:54" x14ac:dyDescent="0.3">
      <c r="A31" s="3">
        <v>11</v>
      </c>
      <c r="B31" s="3" t="str">
        <f>data_주일!D31</f>
        <v>최경숙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3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</row>
    <row r="32" spans="1:54" x14ac:dyDescent="0.3">
      <c r="A32" s="3">
        <v>11</v>
      </c>
      <c r="B32" s="3" t="str">
        <f>data_주일!D32</f>
        <v>최정희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</row>
    <row r="33" spans="1:54" x14ac:dyDescent="0.3">
      <c r="A33" s="3">
        <v>11</v>
      </c>
      <c r="B33" s="3" t="str">
        <f>data_주일!D33</f>
        <v>홍성범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</row>
    <row r="34" spans="1:54" x14ac:dyDescent="0.3">
      <c r="A34" s="3">
        <v>11</v>
      </c>
      <c r="B34" s="3" t="str">
        <f>data_주일!D34</f>
        <v>서금자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</row>
    <row r="35" spans="1:54" x14ac:dyDescent="0.3">
      <c r="A35" s="3">
        <v>11</v>
      </c>
      <c r="B35" s="3" t="str">
        <f>data_주일!D35</f>
        <v>송근식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11"/>
      <c r="Y35" s="3"/>
      <c r="Z35" s="11"/>
      <c r="AA35" s="3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</row>
    <row r="36" spans="1:54" x14ac:dyDescent="0.3">
      <c r="A36" s="3">
        <v>11</v>
      </c>
      <c r="B36" s="3" t="str">
        <f>data_주일!D36</f>
        <v>이종률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</row>
    <row r="37" spans="1:54" x14ac:dyDescent="0.3">
      <c r="A37" s="3">
        <v>11</v>
      </c>
      <c r="B37" s="3" t="str">
        <f>data_주일!D37</f>
        <v>정동범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</row>
    <row r="38" spans="1:54" x14ac:dyDescent="0.3">
      <c r="A38" s="3">
        <v>11</v>
      </c>
      <c r="B38" s="3" t="str">
        <f>data_주일!D38</f>
        <v>진봉덕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</row>
    <row r="39" spans="1:54" x14ac:dyDescent="0.3">
      <c r="A39" s="3">
        <v>11</v>
      </c>
      <c r="B39" s="3" t="str">
        <f>data_주일!D39</f>
        <v>김지민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</row>
    <row r="40" spans="1:54" x14ac:dyDescent="0.3">
      <c r="A40" s="3">
        <v>11</v>
      </c>
      <c r="B40" s="3" t="str">
        <f>data_주일!D40</f>
        <v>김연지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</row>
    <row r="41" spans="1:54" x14ac:dyDescent="0.3">
      <c r="A41" s="3">
        <v>11</v>
      </c>
      <c r="B41" s="3" t="str">
        <f>data_주일!D41</f>
        <v>서다혜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</row>
    <row r="42" spans="1:54" x14ac:dyDescent="0.3">
      <c r="A42" s="3">
        <v>11</v>
      </c>
      <c r="B42" s="3" t="str">
        <f>data_주일!D42</f>
        <v>서아름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11"/>
      <c r="Y42" s="3"/>
      <c r="Z42" s="3"/>
      <c r="AA42" s="3"/>
      <c r="AB42" s="3"/>
      <c r="AC42" s="3"/>
      <c r="AD42" s="3"/>
      <c r="AE42" s="3"/>
      <c r="AF42" s="11"/>
      <c r="AG42" s="3"/>
      <c r="AH42" s="11"/>
      <c r="AI42" s="3"/>
      <c r="AJ42" s="3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</row>
    <row r="43" spans="1:54" x14ac:dyDescent="0.3">
      <c r="A43" s="3">
        <v>11</v>
      </c>
      <c r="B43" s="3" t="str">
        <f>data_주일!D43</f>
        <v>서우진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</row>
    <row r="44" spans="1:54" x14ac:dyDescent="0.3">
      <c r="A44" s="3">
        <v>11</v>
      </c>
      <c r="B44" s="3" t="str">
        <f>data_주일!D44</f>
        <v>양해광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3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</row>
    <row r="45" spans="1:54" x14ac:dyDescent="0.3">
      <c r="A45" s="3">
        <v>11</v>
      </c>
      <c r="B45" s="3" t="str">
        <f>data_주일!D45</f>
        <v>이나은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11"/>
      <c r="Y45" s="11"/>
      <c r="Z45" s="11"/>
      <c r="AA45" s="11"/>
      <c r="AB45" s="11"/>
      <c r="AC45" s="11"/>
      <c r="AD45" s="3"/>
      <c r="AE45" s="11"/>
      <c r="AF45" s="11"/>
      <c r="AG45" s="3"/>
      <c r="AH45" s="11"/>
      <c r="AI45" s="3"/>
      <c r="AJ45" s="3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</row>
    <row r="46" spans="1:54" x14ac:dyDescent="0.3">
      <c r="A46" s="3">
        <v>11</v>
      </c>
      <c r="B46" s="3" t="str">
        <f>data_주일!D46</f>
        <v>장준우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11"/>
      <c r="AI46" s="3"/>
      <c r="AJ46" s="3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</row>
    <row r="47" spans="1:54" x14ac:dyDescent="0.3">
      <c r="A47" s="3">
        <v>11</v>
      </c>
      <c r="B47" s="3" t="str">
        <f>data_주일!D47</f>
        <v>조은빈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11"/>
      <c r="AE47" s="3"/>
      <c r="AF47" s="3"/>
      <c r="AG47" s="3"/>
      <c r="AH47" s="11"/>
      <c r="AI47" s="11"/>
      <c r="AJ47" s="3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</row>
    <row r="48" spans="1:54" x14ac:dyDescent="0.3">
      <c r="A48" s="3">
        <v>11</v>
      </c>
      <c r="B48" s="3" t="str">
        <f>data_주일!D48</f>
        <v>임지연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11"/>
      <c r="AI48" s="3"/>
      <c r="AJ48" s="3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</row>
    <row r="49" spans="1:54" x14ac:dyDescent="0.3">
      <c r="A49" s="3">
        <v>11</v>
      </c>
      <c r="B49" s="3" t="str">
        <f>data_주일!D49</f>
        <v>양해윤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11"/>
      <c r="Y49" s="11"/>
      <c r="Z49" s="11"/>
      <c r="AA49" s="11"/>
      <c r="AB49" s="11"/>
      <c r="AC49" s="11"/>
      <c r="AD49" s="11"/>
      <c r="AE49" s="11"/>
      <c r="AF49" s="11"/>
      <c r="AG49" s="3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</row>
    <row r="50" spans="1:54" x14ac:dyDescent="0.3">
      <c r="A50" s="3">
        <v>11</v>
      </c>
      <c r="B50" s="3" t="str">
        <f>data_주일!D50</f>
        <v>임한결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</row>
    <row r="51" spans="1:54" x14ac:dyDescent="0.3">
      <c r="A51" s="3">
        <v>12</v>
      </c>
      <c r="B51" s="3" t="str">
        <f>data_주일!D51</f>
        <v>조재근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11"/>
      <c r="Y51" s="11"/>
      <c r="Z51" s="11"/>
      <c r="AA51" s="11"/>
      <c r="AB51" s="11"/>
      <c r="AC51" s="3"/>
      <c r="AD51" s="3"/>
      <c r="AE51" s="11"/>
      <c r="AF51" s="11"/>
      <c r="AG51" s="3"/>
      <c r="AH51" s="11"/>
      <c r="AI51" s="3"/>
      <c r="AJ51" s="3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</row>
    <row r="52" spans="1:54" x14ac:dyDescent="0.3">
      <c r="A52" s="3">
        <v>12</v>
      </c>
      <c r="B52" s="3" t="str">
        <f>data_주일!D52</f>
        <v>김선우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11"/>
      <c r="AI52" s="3"/>
      <c r="AJ52" s="3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</row>
    <row r="53" spans="1:54" x14ac:dyDescent="0.3">
      <c r="A53" s="3">
        <v>12</v>
      </c>
      <c r="B53" s="3" t="str">
        <f>data_주일!D53</f>
        <v>김형신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11"/>
      <c r="AI53" s="11"/>
      <c r="AJ53" s="3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</row>
    <row r="54" spans="1:54" x14ac:dyDescent="0.3">
      <c r="A54" s="3">
        <v>12</v>
      </c>
      <c r="B54" s="3" t="str">
        <f>data_주일!D54</f>
        <v>서동진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11"/>
      <c r="AI54" s="3"/>
      <c r="AJ54" s="3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</row>
    <row r="55" spans="1:54" x14ac:dyDescent="0.3">
      <c r="A55" s="3">
        <v>12</v>
      </c>
      <c r="B55" s="3" t="str">
        <f>data_주일!D55</f>
        <v>이병래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</row>
    <row r="56" spans="1:54" x14ac:dyDescent="0.3">
      <c r="A56" s="3">
        <v>12</v>
      </c>
      <c r="B56" s="3" t="str">
        <f>data_주일!D56</f>
        <v>정민구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</row>
    <row r="57" spans="1:54" x14ac:dyDescent="0.3">
      <c r="A57" s="3">
        <v>12</v>
      </c>
      <c r="B57" s="3" t="str">
        <f>data_주일!D57</f>
        <v>구민숙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11"/>
      <c r="AI57" s="3"/>
      <c r="AJ57" s="3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</row>
    <row r="58" spans="1:54" x14ac:dyDescent="0.3">
      <c r="A58" s="3">
        <v>12</v>
      </c>
      <c r="B58" s="3" t="str">
        <f>data_주일!D58</f>
        <v>김경아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11"/>
      <c r="X58" s="3"/>
      <c r="Y58" s="3"/>
      <c r="Z58" s="11"/>
      <c r="AA58" s="3"/>
      <c r="AB58" s="11"/>
      <c r="AC58" s="11"/>
      <c r="AD58" s="11"/>
      <c r="AE58" s="3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</row>
    <row r="59" spans="1:54" x14ac:dyDescent="0.3">
      <c r="A59" s="3">
        <v>12</v>
      </c>
      <c r="B59" s="3" t="str">
        <f>data_주일!D59</f>
        <v>김옥례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</row>
    <row r="60" spans="1:54" x14ac:dyDescent="0.3">
      <c r="A60" s="3">
        <v>12</v>
      </c>
      <c r="B60" s="3" t="str">
        <f>data_주일!D60</f>
        <v>류순주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11"/>
      <c r="AE60" s="3"/>
      <c r="AF60" s="11"/>
      <c r="AG60" s="11"/>
      <c r="AH60" s="11"/>
      <c r="AI60" s="11"/>
      <c r="AJ60" s="3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</row>
    <row r="61" spans="1:54" x14ac:dyDescent="0.3">
      <c r="A61" s="3">
        <v>12</v>
      </c>
      <c r="B61" s="3" t="str">
        <f>data_주일!D61</f>
        <v>손미숙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11"/>
      <c r="AG61" s="11"/>
      <c r="AH61" s="11"/>
      <c r="AI61" s="3"/>
      <c r="AJ61" s="3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</row>
    <row r="62" spans="1:54" x14ac:dyDescent="0.3">
      <c r="A62" s="3">
        <v>12</v>
      </c>
      <c r="B62" s="3" t="str">
        <f>data_주일!D62</f>
        <v>양애란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</row>
    <row r="63" spans="1:54" x14ac:dyDescent="0.3">
      <c r="A63" s="3">
        <v>12</v>
      </c>
      <c r="B63" s="3" t="str">
        <f>data_주일!D63</f>
        <v>이영희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11"/>
      <c r="AI63" s="11"/>
      <c r="AJ63" s="3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</row>
    <row r="64" spans="1:54" x14ac:dyDescent="0.3">
      <c r="A64" s="3">
        <v>12</v>
      </c>
      <c r="B64" s="3" t="str">
        <f>data_주일!D64</f>
        <v>이옥임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</row>
    <row r="65" spans="1:54" x14ac:dyDescent="0.3">
      <c r="A65" s="3">
        <v>12</v>
      </c>
      <c r="B65" s="3" t="str">
        <f>data_주일!D65</f>
        <v>조수자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11"/>
      <c r="AE65" s="3"/>
      <c r="AF65" s="3"/>
      <c r="AG65" s="11"/>
      <c r="AH65" s="11"/>
      <c r="AI65" s="3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</row>
    <row r="66" spans="1:54" x14ac:dyDescent="0.3">
      <c r="A66" s="3">
        <v>12</v>
      </c>
      <c r="B66" s="3" t="str">
        <f>data_주일!D66</f>
        <v>한상미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</row>
    <row r="67" spans="1:54" x14ac:dyDescent="0.3">
      <c r="A67" s="3">
        <v>12</v>
      </c>
      <c r="B67" s="3" t="str">
        <f>data_주일!D67</f>
        <v>한윤숙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</row>
    <row r="68" spans="1:54" x14ac:dyDescent="0.3">
      <c r="A68" s="3">
        <v>12</v>
      </c>
      <c r="B68" s="3" t="str">
        <f>data_주일!D68</f>
        <v>노무연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</row>
    <row r="69" spans="1:54" x14ac:dyDescent="0.3">
      <c r="A69" s="3">
        <v>12</v>
      </c>
      <c r="B69" s="3" t="str">
        <f>data_주일!D69</f>
        <v>서부돌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</row>
    <row r="70" spans="1:54" x14ac:dyDescent="0.3">
      <c r="A70" s="3">
        <v>12</v>
      </c>
      <c r="B70" s="3" t="str">
        <f>data_주일!D70</f>
        <v>이재순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11"/>
      <c r="X70" s="11"/>
      <c r="Y70" s="11"/>
      <c r="Z70" s="3"/>
      <c r="AA70" s="11"/>
      <c r="AB70" s="11"/>
      <c r="AC70" s="11"/>
      <c r="AD70" s="11"/>
      <c r="AE70" s="11"/>
      <c r="AF70" s="3"/>
      <c r="AG70" s="11"/>
      <c r="AH70" s="11"/>
      <c r="AI70" s="3"/>
      <c r="AJ70" s="3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</row>
    <row r="71" spans="1:54" x14ac:dyDescent="0.3">
      <c r="A71" s="3">
        <v>12</v>
      </c>
      <c r="B71" s="3" t="str">
        <f>data_주일!D71</f>
        <v>임영택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11"/>
      <c r="X71" s="11"/>
      <c r="Y71" s="3"/>
      <c r="Z71" s="11"/>
      <c r="AA71" s="3"/>
      <c r="AB71" s="11"/>
      <c r="AC71" s="11"/>
      <c r="AD71" s="11"/>
      <c r="AE71" s="11"/>
      <c r="AF71" s="11"/>
      <c r="AG71" s="3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</row>
    <row r="72" spans="1:54" x14ac:dyDescent="0.3">
      <c r="A72" s="3">
        <v>12</v>
      </c>
      <c r="B72" s="3" t="str">
        <f>data_주일!D72</f>
        <v>김영수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</row>
    <row r="73" spans="1:54" s="2" customFormat="1" x14ac:dyDescent="0.3">
      <c r="A73" s="3">
        <v>12</v>
      </c>
      <c r="B73" s="3" t="str">
        <f>data_주일!D73</f>
        <v>송경연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11"/>
      <c r="AV73" s="3"/>
      <c r="AW73" s="3"/>
      <c r="AX73" s="3"/>
      <c r="AY73" s="3"/>
      <c r="AZ73" s="3"/>
      <c r="BA73" s="3"/>
      <c r="BB73" s="3"/>
    </row>
    <row r="74" spans="1:54" x14ac:dyDescent="0.3">
      <c r="A74" s="3">
        <v>12</v>
      </c>
      <c r="B74" s="3" t="str">
        <f>data_주일!D74</f>
        <v>장재희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</row>
    <row r="75" spans="1:54" x14ac:dyDescent="0.3">
      <c r="A75" s="3">
        <v>12</v>
      </c>
      <c r="B75" s="3" t="str">
        <f>data_주일!D75</f>
        <v>전민지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</row>
    <row r="76" spans="1:54" x14ac:dyDescent="0.3">
      <c r="A76" s="3">
        <v>12</v>
      </c>
      <c r="B76" s="3" t="str">
        <f>data_주일!D76</f>
        <v>전이우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11"/>
      <c r="AE76" s="3"/>
      <c r="AF76" s="3"/>
      <c r="AG76" s="3"/>
      <c r="AH76" s="11"/>
      <c r="AI76" s="3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</row>
    <row r="77" spans="1:54" x14ac:dyDescent="0.3">
      <c r="A77" s="3">
        <v>12</v>
      </c>
      <c r="B77" s="3" t="str">
        <f>data_주일!D77</f>
        <v>조은지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11"/>
      <c r="AD77" s="3"/>
      <c r="AE77" s="11"/>
      <c r="AF77" s="3"/>
      <c r="AG77" s="3"/>
      <c r="AH77" s="11"/>
      <c r="AI77" s="3"/>
      <c r="AJ77" s="3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</row>
    <row r="78" spans="1:54" x14ac:dyDescent="0.3">
      <c r="A78" s="3">
        <v>21</v>
      </c>
      <c r="B78" s="3" t="str">
        <f>data_주일!D78</f>
        <v>장희수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11"/>
      <c r="Z78" s="11"/>
      <c r="AA78" s="11"/>
      <c r="AB78" s="11"/>
      <c r="AC78" s="11"/>
      <c r="AD78" s="3"/>
      <c r="AE78" s="3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</row>
    <row r="79" spans="1:54" x14ac:dyDescent="0.3">
      <c r="A79" s="3">
        <v>21</v>
      </c>
      <c r="B79" s="3" t="str">
        <f>data_주일!D79</f>
        <v>민주안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</row>
    <row r="80" spans="1:54" x14ac:dyDescent="0.3">
      <c r="A80" s="3">
        <v>21</v>
      </c>
      <c r="B80" s="3" t="str">
        <f>data_주일!D80</f>
        <v>김재홍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11"/>
      <c r="Y80" s="11"/>
      <c r="Z80" s="3"/>
      <c r="AA80" s="3"/>
      <c r="AB80" s="11"/>
      <c r="AC80" s="11"/>
      <c r="AD80" s="11"/>
      <c r="AE80" s="3"/>
      <c r="AF80" s="11"/>
      <c r="AG80" s="11"/>
      <c r="AH80" s="11"/>
      <c r="AI80" s="3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</row>
    <row r="81" spans="1:54" x14ac:dyDescent="0.3">
      <c r="A81" s="3">
        <v>21</v>
      </c>
      <c r="B81" s="3" t="str">
        <f>data_주일!D81</f>
        <v>김세문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11"/>
      <c r="AI81" s="11"/>
      <c r="AJ81" s="3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</row>
    <row r="82" spans="1:54" x14ac:dyDescent="0.3">
      <c r="A82" s="3">
        <v>21</v>
      </c>
      <c r="B82" s="3" t="str">
        <f>data_주일!D82</f>
        <v>손창근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11"/>
      <c r="Z82" s="3"/>
      <c r="AA82" s="11"/>
      <c r="AB82" s="3"/>
      <c r="AC82" s="3"/>
      <c r="AD82" s="3"/>
      <c r="AE82" s="3"/>
      <c r="AF82" s="3"/>
      <c r="AG82" s="3"/>
      <c r="AH82" s="11"/>
      <c r="AI82" s="11"/>
      <c r="AJ82" s="3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</row>
    <row r="83" spans="1:54" x14ac:dyDescent="0.3">
      <c r="A83" s="3">
        <v>21</v>
      </c>
      <c r="B83" s="3" t="str">
        <f>data_주일!D83</f>
        <v>양인수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11"/>
      <c r="Z83" s="3"/>
      <c r="AA83" s="11"/>
      <c r="AB83" s="3"/>
      <c r="AC83" s="3"/>
      <c r="AD83" s="3"/>
      <c r="AE83" s="3"/>
      <c r="AF83" s="11"/>
      <c r="AG83" s="11"/>
      <c r="AH83" s="11"/>
      <c r="AI83" s="11"/>
      <c r="AJ83" s="3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</row>
    <row r="84" spans="1:54" x14ac:dyDescent="0.3">
      <c r="A84" s="3">
        <v>21</v>
      </c>
      <c r="B84" s="3" t="str">
        <f>data_주일!D84</f>
        <v>윤대혁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11"/>
      <c r="Z84" s="3"/>
      <c r="AA84" s="3"/>
      <c r="AB84" s="3"/>
      <c r="AC84" s="3"/>
      <c r="AD84" s="3"/>
      <c r="AE84" s="11"/>
      <c r="AF84" s="11"/>
      <c r="AG84" s="11"/>
      <c r="AH84" s="11"/>
      <c r="AI84" s="11"/>
      <c r="AJ84" s="3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</row>
    <row r="85" spans="1:54" x14ac:dyDescent="0.3">
      <c r="A85" s="3">
        <v>21</v>
      </c>
      <c r="B85" s="3" t="str">
        <f>data_주일!D85</f>
        <v>이동하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11"/>
      <c r="AE85" s="3"/>
      <c r="AF85" s="11"/>
      <c r="AG85" s="3"/>
      <c r="AH85" s="11"/>
      <c r="AI85" s="11"/>
      <c r="AJ85" s="3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</row>
    <row r="86" spans="1:54" x14ac:dyDescent="0.3">
      <c r="A86" s="3">
        <v>21</v>
      </c>
      <c r="B86" s="3" t="str">
        <f>data_주일!D86</f>
        <v>이승목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11"/>
      <c r="AI86" s="11"/>
      <c r="AJ86" s="3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</row>
    <row r="87" spans="1:54" x14ac:dyDescent="0.3">
      <c r="A87" s="3">
        <v>21</v>
      </c>
      <c r="B87" s="3" t="str">
        <f>data_주일!D87</f>
        <v>이흥삼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11"/>
      <c r="AA87" s="11"/>
      <c r="AB87" s="11"/>
      <c r="AC87" s="11"/>
      <c r="AD87" s="11"/>
      <c r="AE87" s="11"/>
      <c r="AF87" s="3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</row>
    <row r="88" spans="1:54" x14ac:dyDescent="0.3">
      <c r="A88" s="3">
        <v>21</v>
      </c>
      <c r="B88" s="3" t="str">
        <f>data_주일!D88</f>
        <v>진현조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11"/>
      <c r="Z88" s="11"/>
      <c r="AA88" s="3"/>
      <c r="AB88" s="3"/>
      <c r="AC88" s="11"/>
      <c r="AD88" s="3"/>
      <c r="AE88" s="11"/>
      <c r="AF88" s="3"/>
      <c r="AG88" s="3"/>
      <c r="AH88" s="11"/>
      <c r="AI88" s="11"/>
      <c r="AJ88" s="3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</row>
    <row r="89" spans="1:54" x14ac:dyDescent="0.3">
      <c r="A89" s="3">
        <v>21</v>
      </c>
      <c r="B89" s="3" t="str">
        <f>data_주일!D89</f>
        <v>박점숙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11"/>
      <c r="Y89" s="11"/>
      <c r="Z89" s="11"/>
      <c r="AA89" s="3"/>
      <c r="AB89" s="3"/>
      <c r="AC89" s="11"/>
      <c r="AD89" s="11"/>
      <c r="AE89" s="3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</row>
    <row r="90" spans="1:54" x14ac:dyDescent="0.3">
      <c r="A90" s="3">
        <v>21</v>
      </c>
      <c r="B90" s="3" t="str">
        <f>data_주일!D90</f>
        <v>신미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11"/>
      <c r="Y90" s="11"/>
      <c r="Z90" s="11"/>
      <c r="AA90" s="11"/>
      <c r="AB90" s="3"/>
      <c r="AC90" s="11"/>
      <c r="AD90" s="3"/>
      <c r="AE90" s="3"/>
      <c r="AF90" s="11"/>
      <c r="AG90" s="3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</row>
    <row r="91" spans="1:54" x14ac:dyDescent="0.3">
      <c r="A91" s="3">
        <v>21</v>
      </c>
      <c r="B91" s="3" t="str">
        <f>data_주일!D91</f>
        <v>안진숙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11"/>
      <c r="AI91" s="11"/>
      <c r="AJ91" s="3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</row>
    <row r="92" spans="1:54" x14ac:dyDescent="0.3">
      <c r="A92" s="3">
        <v>21</v>
      </c>
      <c r="B92" s="3" t="str">
        <f>data_주일!D92</f>
        <v>엽진숙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11"/>
      <c r="AI92" s="11"/>
      <c r="AJ92" s="3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</row>
    <row r="93" spans="1:54" x14ac:dyDescent="0.3">
      <c r="A93" s="3">
        <v>21</v>
      </c>
      <c r="B93" s="3" t="str">
        <f>data_주일!D93</f>
        <v>이재경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11"/>
      <c r="Y93" s="11"/>
      <c r="Z93" s="11"/>
      <c r="AA93" s="11"/>
      <c r="AB93" s="3"/>
      <c r="AC93" s="11"/>
      <c r="AD93" s="11"/>
      <c r="AE93" s="11"/>
      <c r="AF93" s="11"/>
      <c r="AG93" s="11"/>
      <c r="AH93" s="11"/>
      <c r="AI93" s="11"/>
      <c r="AJ93" s="3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</row>
    <row r="94" spans="1:54" x14ac:dyDescent="0.3">
      <c r="A94" s="3">
        <v>21</v>
      </c>
      <c r="B94" s="3" t="str">
        <f>data_주일!D94</f>
        <v>이정화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11"/>
      <c r="Y94" s="3"/>
      <c r="Z94" s="11"/>
      <c r="AA94" s="11"/>
      <c r="AB94" s="3"/>
      <c r="AC94" s="11"/>
      <c r="AD94" s="3"/>
      <c r="AE94" s="3"/>
      <c r="AF94" s="11"/>
      <c r="AG94" s="3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</row>
    <row r="95" spans="1:54" x14ac:dyDescent="0.3">
      <c r="A95" s="3">
        <v>21</v>
      </c>
      <c r="B95" s="3" t="str">
        <f>data_주일!D95</f>
        <v>임정순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11"/>
      <c r="Y95" s="11"/>
      <c r="Z95" s="11"/>
      <c r="AA95" s="11"/>
      <c r="AB95" s="3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</row>
    <row r="96" spans="1:54" x14ac:dyDescent="0.3">
      <c r="A96" s="3">
        <v>21</v>
      </c>
      <c r="B96" s="3" t="str">
        <f>data_주일!D96</f>
        <v>장정이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11"/>
      <c r="AB96" s="3"/>
      <c r="AC96" s="3"/>
      <c r="AD96" s="11"/>
      <c r="AE96" s="3"/>
      <c r="AF96" s="3"/>
      <c r="AG96" s="3"/>
      <c r="AH96" s="11"/>
      <c r="AI96" s="11"/>
      <c r="AJ96" s="3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</row>
    <row r="97" spans="1:54" x14ac:dyDescent="0.3">
      <c r="A97" s="3">
        <v>21</v>
      </c>
      <c r="B97" s="3" t="str">
        <f>data_주일!D97</f>
        <v>조영미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11"/>
      <c r="Y97" s="11"/>
      <c r="Z97" s="11"/>
      <c r="AA97" s="11"/>
      <c r="AB97" s="11"/>
      <c r="AC97" s="11"/>
      <c r="AD97" s="11"/>
      <c r="AE97" s="11"/>
      <c r="AF97" s="11"/>
      <c r="AG97" s="3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</row>
    <row r="98" spans="1:54" x14ac:dyDescent="0.3">
      <c r="A98" s="3">
        <v>21</v>
      </c>
      <c r="B98" s="3" t="str">
        <f>data_주일!D98</f>
        <v>최시애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11"/>
      <c r="Y98" s="11"/>
      <c r="Z98" s="11"/>
      <c r="AA98" s="3"/>
      <c r="AB98" s="3"/>
      <c r="AC98" s="3"/>
      <c r="AD98" s="11"/>
      <c r="AE98" s="11"/>
      <c r="AF98" s="3"/>
      <c r="AG98" s="3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</row>
    <row r="99" spans="1:54" x14ac:dyDescent="0.3">
      <c r="A99" s="3">
        <v>21</v>
      </c>
      <c r="B99" s="3" t="str">
        <f>data_주일!D99</f>
        <v>김용택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</row>
    <row r="100" spans="1:54" x14ac:dyDescent="0.3">
      <c r="A100" s="3">
        <v>21</v>
      </c>
      <c r="B100" s="3" t="str">
        <f>data_주일!D100</f>
        <v>강희선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11"/>
      <c r="Z100" s="3"/>
      <c r="AA100" s="11"/>
      <c r="AB100" s="3"/>
      <c r="AC100" s="3"/>
      <c r="AD100" s="3"/>
      <c r="AE100" s="3"/>
      <c r="AF100" s="3"/>
      <c r="AG100" s="3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</row>
    <row r="101" spans="1:54" x14ac:dyDescent="0.3">
      <c r="A101" s="3">
        <v>21</v>
      </c>
      <c r="B101" s="3" t="str">
        <f>data_주일!D101</f>
        <v>김만영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</row>
    <row r="102" spans="1:54" x14ac:dyDescent="0.3">
      <c r="A102" s="3">
        <v>21</v>
      </c>
      <c r="B102" s="3" t="str">
        <f>data_주일!D102</f>
        <v>김점자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11"/>
      <c r="AA102" s="3"/>
      <c r="AB102" s="3"/>
      <c r="AC102" s="3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</row>
    <row r="103" spans="1:54" x14ac:dyDescent="0.3">
      <c r="A103" s="3">
        <v>21</v>
      </c>
      <c r="B103" s="3" t="str">
        <f>data_주일!D103</f>
        <v>이문자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11"/>
      <c r="Y103" s="11"/>
      <c r="Z103" s="11"/>
      <c r="AA103" s="11"/>
      <c r="AB103" s="3"/>
      <c r="AC103" s="3"/>
      <c r="AD103" s="11"/>
      <c r="AE103" s="11"/>
      <c r="AF103" s="11"/>
      <c r="AG103" s="3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</row>
    <row r="104" spans="1:54" x14ac:dyDescent="0.3">
      <c r="A104" s="3">
        <v>21</v>
      </c>
      <c r="B104" s="3" t="str">
        <f>data_주일!D104</f>
        <v>정대림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</row>
    <row r="105" spans="1:54" x14ac:dyDescent="0.3">
      <c r="A105" s="3">
        <v>21</v>
      </c>
      <c r="B105" s="3" t="str">
        <f>data_주일!D105</f>
        <v>김영은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11"/>
      <c r="AI105" s="11"/>
      <c r="AJ105" s="3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</row>
    <row r="106" spans="1:54" x14ac:dyDescent="0.3">
      <c r="A106" s="3">
        <v>21</v>
      </c>
      <c r="B106" s="3" t="str">
        <f>data_주일!D106</f>
        <v>김해은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</row>
    <row r="107" spans="1:54" x14ac:dyDescent="0.3">
      <c r="A107" s="3">
        <v>21</v>
      </c>
      <c r="B107" s="3" t="str">
        <f>data_주일!D107</f>
        <v>최난영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11"/>
      <c r="Y107" s="3"/>
      <c r="Z107" s="3"/>
      <c r="AA107" s="11"/>
      <c r="AB107" s="3"/>
      <c r="AC107" s="3"/>
      <c r="AD107" s="3"/>
      <c r="AE107" s="3"/>
      <c r="AF107" s="3"/>
      <c r="AG107" s="3"/>
      <c r="AH107" s="11"/>
      <c r="AI107" s="11"/>
      <c r="AJ107" s="3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</row>
    <row r="108" spans="1:54" x14ac:dyDescent="0.3">
      <c r="A108" s="3">
        <v>21</v>
      </c>
      <c r="B108" s="3" t="e">
        <f>data_주일!#REF!</f>
        <v>#REF!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11"/>
      <c r="AI108" s="11"/>
      <c r="AJ108" s="3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</row>
    <row r="109" spans="1:54" x14ac:dyDescent="0.3">
      <c r="A109" s="3">
        <v>22</v>
      </c>
      <c r="B109" s="3" t="str">
        <f>data_주일!D108</f>
        <v>문혜원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11"/>
      <c r="Y109" s="11"/>
      <c r="Z109" s="11"/>
      <c r="AA109" s="3"/>
      <c r="AB109" s="3"/>
      <c r="AC109" s="3"/>
      <c r="AD109" s="3"/>
      <c r="AE109" s="3"/>
      <c r="AF109" s="3"/>
      <c r="AG109" s="3"/>
      <c r="AH109" s="11"/>
      <c r="AI109" s="11"/>
      <c r="AJ109" s="3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</row>
    <row r="110" spans="1:54" x14ac:dyDescent="0.3">
      <c r="A110" s="3">
        <v>22</v>
      </c>
      <c r="B110" s="3" t="str">
        <f>data_주일!D109</f>
        <v>이은선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11"/>
      <c r="Y110" s="11"/>
      <c r="Z110" s="11"/>
      <c r="AA110" s="3"/>
      <c r="AB110" s="3"/>
      <c r="AC110" s="3"/>
      <c r="AD110" s="3"/>
      <c r="AE110" s="3"/>
      <c r="AF110" s="3"/>
      <c r="AG110" s="3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</row>
    <row r="111" spans="1:54" x14ac:dyDescent="0.3">
      <c r="A111" s="3">
        <v>22</v>
      </c>
      <c r="B111" s="3" t="str">
        <f>data_주일!D110</f>
        <v>윤경일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11"/>
      <c r="Y111" s="11"/>
      <c r="Z111" s="11"/>
      <c r="AA111" s="3"/>
      <c r="AB111" s="3"/>
      <c r="AC111" s="3"/>
      <c r="AD111" s="11"/>
      <c r="AE111" s="3"/>
      <c r="AF111" s="3"/>
      <c r="AG111" s="3"/>
      <c r="AH111" s="11"/>
      <c r="AI111" s="11"/>
      <c r="AJ111" s="3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</row>
    <row r="112" spans="1:54" x14ac:dyDescent="0.3">
      <c r="A112" s="3">
        <v>22</v>
      </c>
      <c r="B112" s="3" t="str">
        <f>data_주일!D111</f>
        <v>곽상호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11"/>
      <c r="Z112" s="3"/>
      <c r="AA112" s="11"/>
      <c r="AB112" s="3"/>
      <c r="AC112" s="3"/>
      <c r="AD112" s="3"/>
      <c r="AE112" s="3"/>
      <c r="AF112" s="3"/>
      <c r="AG112" s="3"/>
      <c r="AH112" s="11"/>
      <c r="AI112" s="11"/>
      <c r="AJ112" s="3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</row>
    <row r="113" spans="1:54" x14ac:dyDescent="0.3">
      <c r="A113" s="3">
        <v>22</v>
      </c>
      <c r="B113" s="3" t="str">
        <f>data_주일!D112</f>
        <v>김삼중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11"/>
      <c r="AB113" s="3"/>
      <c r="AC113" s="3"/>
      <c r="AD113" s="3"/>
      <c r="AE113" s="3"/>
      <c r="AF113" s="3"/>
      <c r="AG113" s="3"/>
      <c r="AH113" s="11"/>
      <c r="AI113" s="11"/>
      <c r="AJ113" s="3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</row>
    <row r="114" spans="1:54" x14ac:dyDescent="0.3">
      <c r="A114" s="3">
        <v>22</v>
      </c>
      <c r="B114" s="3" t="str">
        <f>data_주일!D113</f>
        <v>왕순철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11"/>
      <c r="Y114" s="11"/>
      <c r="Z114" s="11"/>
      <c r="AA114" s="11"/>
      <c r="AB114" s="3"/>
      <c r="AC114" s="11"/>
      <c r="AD114" s="11"/>
      <c r="AE114" s="3"/>
      <c r="AF114" s="11"/>
      <c r="AG114" s="11"/>
      <c r="AH114" s="11"/>
      <c r="AI114" s="11"/>
      <c r="AJ114" s="3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</row>
    <row r="115" spans="1:54" x14ac:dyDescent="0.3">
      <c r="A115" s="3">
        <v>22</v>
      </c>
      <c r="B115" s="3" t="str">
        <f>data_주일!D114</f>
        <v>우명호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11"/>
      <c r="Z115" s="3"/>
      <c r="AA115" s="11"/>
      <c r="AB115" s="3"/>
      <c r="AC115" s="3"/>
      <c r="AD115" s="3"/>
      <c r="AE115" s="3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</row>
    <row r="116" spans="1:54" x14ac:dyDescent="0.3">
      <c r="A116" s="3">
        <v>22</v>
      </c>
      <c r="B116" s="3" t="str">
        <f>data_주일!D115</f>
        <v>이태현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11"/>
      <c r="AA116" s="11"/>
      <c r="AB116" s="3"/>
      <c r="AC116" s="3"/>
      <c r="AD116" s="3"/>
      <c r="AE116" s="3"/>
      <c r="AF116" s="3"/>
      <c r="AG116" s="3"/>
      <c r="AH116" s="11"/>
      <c r="AI116" s="11"/>
      <c r="AJ116" s="3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</row>
    <row r="117" spans="1:54" x14ac:dyDescent="0.3">
      <c r="A117" s="3">
        <v>22</v>
      </c>
      <c r="B117" s="3" t="str">
        <f>data_주일!D116</f>
        <v>이희출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11"/>
      <c r="AB117" s="3"/>
      <c r="AC117" s="3"/>
      <c r="AD117" s="3"/>
      <c r="AE117" s="3"/>
      <c r="AF117" s="3"/>
      <c r="AG117" s="3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</row>
    <row r="118" spans="1:54" x14ac:dyDescent="0.3">
      <c r="A118" s="3">
        <v>22</v>
      </c>
      <c r="B118" s="3" t="str">
        <f>data_주일!D117</f>
        <v>최준서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</row>
    <row r="119" spans="1:54" x14ac:dyDescent="0.3">
      <c r="A119" s="3">
        <v>22</v>
      </c>
      <c r="B119" s="3" t="str">
        <f>data_주일!D118</f>
        <v>김지현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</row>
    <row r="120" spans="1:54" x14ac:dyDescent="0.3">
      <c r="A120" s="3">
        <v>22</v>
      </c>
      <c r="B120" s="3" t="str">
        <f>data_주일!D119</f>
        <v>김선자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</row>
    <row r="121" spans="1:54" x14ac:dyDescent="0.3">
      <c r="A121" s="3">
        <v>22</v>
      </c>
      <c r="B121" s="3" t="str">
        <f>data_주일!D120</f>
        <v>박미옥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</row>
    <row r="122" spans="1:54" x14ac:dyDescent="0.3">
      <c r="A122" s="3">
        <v>22</v>
      </c>
      <c r="B122" s="3" t="str">
        <f>data_주일!D121</f>
        <v>박춘련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</row>
    <row r="123" spans="1:54" x14ac:dyDescent="0.3">
      <c r="A123" s="3">
        <v>22</v>
      </c>
      <c r="B123" s="3" t="str">
        <f>data_주일!D122</f>
        <v>배미숙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11"/>
      <c r="AB123" s="3"/>
      <c r="AC123" s="3"/>
      <c r="AD123" s="3"/>
      <c r="AE123" s="3"/>
      <c r="AF123" s="3"/>
      <c r="AG123" s="3"/>
      <c r="AH123" s="11"/>
      <c r="AI123" s="11"/>
      <c r="AJ123" s="3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</row>
    <row r="124" spans="1:54" x14ac:dyDescent="0.3">
      <c r="A124" s="3">
        <v>22</v>
      </c>
      <c r="B124" s="3" t="str">
        <f>data_주일!D123</f>
        <v>손미영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11"/>
      <c r="AB124" s="3"/>
      <c r="AC124" s="3"/>
      <c r="AD124" s="3"/>
      <c r="AE124" s="3"/>
      <c r="AF124" s="3"/>
      <c r="AG124" s="3"/>
      <c r="AH124" s="11"/>
      <c r="AI124" s="11"/>
      <c r="AJ124" s="3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</row>
    <row r="125" spans="1:54" x14ac:dyDescent="0.3">
      <c r="A125" s="3">
        <v>22</v>
      </c>
      <c r="B125" s="3" t="str">
        <f>data_주일!D124</f>
        <v>이순영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11"/>
      <c r="Y125" s="3"/>
      <c r="Z125" s="3"/>
      <c r="AA125" s="11"/>
      <c r="AB125" s="3"/>
      <c r="AC125" s="3"/>
      <c r="AD125" s="3"/>
      <c r="AE125" s="3"/>
      <c r="AF125" s="3"/>
      <c r="AG125" s="3"/>
      <c r="AH125" s="11"/>
      <c r="AI125" s="11"/>
      <c r="AJ125" s="3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</row>
    <row r="126" spans="1:54" x14ac:dyDescent="0.3">
      <c r="A126" s="3">
        <v>22</v>
      </c>
      <c r="B126" s="3" t="str">
        <f>data_주일!D125</f>
        <v>정영희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11"/>
      <c r="Y126" s="3"/>
      <c r="Z126" s="3"/>
      <c r="AA126" s="11"/>
      <c r="AB126" s="11"/>
      <c r="AC126" s="3"/>
      <c r="AD126" s="3"/>
      <c r="AE126" s="3"/>
      <c r="AF126" s="11"/>
      <c r="AG126" s="3"/>
      <c r="AH126" s="11"/>
      <c r="AI126" s="11"/>
      <c r="AJ126" s="3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</row>
    <row r="127" spans="1:54" x14ac:dyDescent="0.3">
      <c r="A127" s="3">
        <v>22</v>
      </c>
      <c r="B127" s="3" t="str">
        <f>data_주일!D126</f>
        <v>정종순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11"/>
      <c r="Y127" s="11"/>
      <c r="Z127" s="3"/>
      <c r="AA127" s="11"/>
      <c r="AB127" s="11"/>
      <c r="AC127" s="3"/>
      <c r="AD127" s="3"/>
      <c r="AE127" s="3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</row>
    <row r="128" spans="1:54" x14ac:dyDescent="0.3">
      <c r="A128" s="3">
        <v>22</v>
      </c>
      <c r="B128" s="3" t="str">
        <f>data_주일!D127</f>
        <v>한연화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</row>
    <row r="129" spans="1:54" x14ac:dyDescent="0.3">
      <c r="A129" s="3">
        <v>22</v>
      </c>
      <c r="B129" s="3" t="str">
        <f>data_주일!D128</f>
        <v>이용민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11"/>
      <c r="Y129" s="11"/>
      <c r="Z129" s="3"/>
      <c r="AA129" s="11"/>
      <c r="AB129" s="3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</row>
    <row r="130" spans="1:54" x14ac:dyDescent="0.3">
      <c r="A130" s="3">
        <v>22</v>
      </c>
      <c r="B130" s="3" t="str">
        <f>data_주일!D129</f>
        <v>김창근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11"/>
      <c r="Y130" s="11"/>
      <c r="Z130" s="3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</row>
    <row r="131" spans="1:54" x14ac:dyDescent="0.3">
      <c r="A131" s="3">
        <v>22</v>
      </c>
      <c r="B131" s="3" t="str">
        <f>data_주일!D130</f>
        <v>양재원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11"/>
      <c r="Y131" s="11"/>
      <c r="Z131" s="3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</row>
    <row r="132" spans="1:54" x14ac:dyDescent="0.3">
      <c r="A132" s="3">
        <v>31</v>
      </c>
      <c r="B132" s="3" t="str">
        <f>data_주일!D131</f>
        <v>양재혁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11"/>
      <c r="Y132" s="11"/>
      <c r="Z132" s="3"/>
      <c r="AA132" s="11"/>
      <c r="AB132" s="3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</row>
    <row r="133" spans="1:54" x14ac:dyDescent="0.3">
      <c r="A133" s="3">
        <v>31</v>
      </c>
      <c r="B133" s="3" t="str">
        <f>data_주일!D132</f>
        <v>전진우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</row>
    <row r="134" spans="1:54" x14ac:dyDescent="0.3">
      <c r="A134" s="3">
        <v>31</v>
      </c>
      <c r="B134" s="3" t="str">
        <f>data_주일!D134</f>
        <v>전병철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11"/>
      <c r="Z134" s="3"/>
      <c r="AA134" s="11"/>
      <c r="AB134" s="3"/>
      <c r="AC134" s="3"/>
      <c r="AD134" s="3"/>
      <c r="AE134" s="3"/>
      <c r="AF134" s="3"/>
      <c r="AG134" s="3"/>
      <c r="AH134" s="11"/>
      <c r="AI134" s="11"/>
      <c r="AJ134" s="3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</row>
    <row r="135" spans="1:54" x14ac:dyDescent="0.3">
      <c r="A135" s="3">
        <v>31</v>
      </c>
      <c r="B135" s="3" t="str">
        <f>data_주일!D135</f>
        <v>김대원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</row>
    <row r="136" spans="1:54" x14ac:dyDescent="0.3">
      <c r="A136" s="3">
        <v>31</v>
      </c>
      <c r="B136" s="3" t="str">
        <f>data_주일!D136</f>
        <v>김영재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11"/>
      <c r="AB136" s="3"/>
      <c r="AC136" s="3"/>
      <c r="AD136" s="3"/>
      <c r="AE136" s="3"/>
      <c r="AF136" s="3"/>
      <c r="AG136" s="3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</row>
    <row r="137" spans="1:54" x14ac:dyDescent="0.3">
      <c r="A137" s="3">
        <v>31</v>
      </c>
      <c r="B137" s="3" t="str">
        <f>data_주일!D137</f>
        <v>김용범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</row>
    <row r="138" spans="1:54" x14ac:dyDescent="0.3">
      <c r="A138" s="3">
        <v>31</v>
      </c>
      <c r="B138" s="3" t="str">
        <f>data_주일!D138</f>
        <v>김종준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</row>
    <row r="139" spans="1:54" x14ac:dyDescent="0.3">
      <c r="A139" s="3">
        <v>31</v>
      </c>
      <c r="B139" s="3" t="str">
        <f>data_주일!D139</f>
        <v>김형석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</row>
    <row r="140" spans="1:54" x14ac:dyDescent="0.3">
      <c r="A140" s="3">
        <v>31</v>
      </c>
      <c r="B140" s="3" t="str">
        <f>data_주일!D140</f>
        <v>서치호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</row>
    <row r="141" spans="1:54" x14ac:dyDescent="0.3">
      <c r="A141" s="3">
        <v>31</v>
      </c>
      <c r="B141" s="3" t="str">
        <f>data_주일!D141</f>
        <v>신두호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</row>
    <row r="142" spans="1:54" x14ac:dyDescent="0.3">
      <c r="A142" s="3">
        <v>31</v>
      </c>
      <c r="B142" s="3" t="str">
        <f>data_주일!D142</f>
        <v>오창열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</row>
    <row r="143" spans="1:54" x14ac:dyDescent="0.3">
      <c r="A143" s="3">
        <v>31</v>
      </c>
      <c r="B143" s="3" t="str">
        <f>data_주일!D143</f>
        <v>이영준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11"/>
      <c r="Y143" s="11"/>
      <c r="Z143" s="11"/>
      <c r="AA143" s="11"/>
      <c r="AB143" s="3"/>
      <c r="AC143" s="3"/>
      <c r="AD143" s="3"/>
      <c r="AE143" s="3"/>
      <c r="AF143" s="3"/>
      <c r="AG143" s="11"/>
      <c r="AH143" s="11"/>
      <c r="AI143" s="11"/>
      <c r="AJ143" s="3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</row>
    <row r="144" spans="1:54" x14ac:dyDescent="0.3">
      <c r="A144" s="3">
        <v>31</v>
      </c>
      <c r="B144" s="3" t="str">
        <f>data_주일!D144</f>
        <v>최미선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</row>
    <row r="145" spans="1:54" x14ac:dyDescent="0.3">
      <c r="A145" s="3">
        <v>31</v>
      </c>
      <c r="B145" s="3" t="str">
        <f>data_주일!D145</f>
        <v>김향자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11"/>
      <c r="Z145" s="3"/>
      <c r="AA145" s="11"/>
      <c r="AB145" s="3"/>
      <c r="AC145" s="3"/>
      <c r="AD145" s="3"/>
      <c r="AE145" s="3"/>
      <c r="AF145" s="3"/>
      <c r="AG145" s="11"/>
      <c r="AH145" s="11"/>
      <c r="AI145" s="11"/>
      <c r="AJ145" s="3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</row>
    <row r="146" spans="1:54" x14ac:dyDescent="0.3">
      <c r="A146" s="3">
        <v>31</v>
      </c>
      <c r="B146" s="3" t="str">
        <f>data_주일!D146</f>
        <v>김호선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11"/>
      <c r="Y146" s="11"/>
      <c r="Z146" s="3"/>
      <c r="AA146" s="11"/>
      <c r="AB146" s="3"/>
      <c r="AC146" s="3"/>
      <c r="AD146" s="11"/>
      <c r="AE146" s="3"/>
      <c r="AF146" s="3"/>
      <c r="AG146" s="3"/>
      <c r="AH146" s="11"/>
      <c r="AI146" s="11"/>
      <c r="AJ146" s="3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</row>
    <row r="147" spans="1:54" x14ac:dyDescent="0.3">
      <c r="A147" s="3">
        <v>31</v>
      </c>
      <c r="B147" s="3" t="str">
        <f>data_주일!D147</f>
        <v>나효심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</row>
    <row r="148" spans="1:54" x14ac:dyDescent="0.3">
      <c r="A148" s="3">
        <v>31</v>
      </c>
      <c r="B148" s="3" t="str">
        <f>data_주일!D148</f>
        <v>양은형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11"/>
      <c r="Z148" s="11"/>
      <c r="AA148" s="11"/>
      <c r="AB148" s="11"/>
      <c r="AC148" s="3"/>
      <c r="AD148" s="3"/>
      <c r="AE148" s="11"/>
      <c r="AF148" s="3"/>
      <c r="AG148" s="3"/>
      <c r="AH148" s="11"/>
      <c r="AI148" s="11"/>
      <c r="AJ148" s="3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</row>
    <row r="149" spans="1:54" x14ac:dyDescent="0.3">
      <c r="A149" s="3">
        <v>31</v>
      </c>
      <c r="B149" s="3" t="str">
        <f>data_주일!D149</f>
        <v>양향미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11"/>
      <c r="AC149" s="3"/>
      <c r="AD149" s="3"/>
      <c r="AE149" s="3"/>
      <c r="AF149" s="3"/>
      <c r="AG149" s="11"/>
      <c r="AH149" s="11"/>
      <c r="AI149" s="11"/>
      <c r="AJ149" s="3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</row>
    <row r="150" spans="1:54" x14ac:dyDescent="0.3">
      <c r="A150" s="3">
        <v>31</v>
      </c>
      <c r="B150" s="3" t="str">
        <f>data_주일!D150</f>
        <v>이숙이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11"/>
      <c r="AA150" s="3"/>
      <c r="AB150" s="3"/>
      <c r="AC150" s="3"/>
      <c r="AD150" s="3"/>
      <c r="AE150" s="3"/>
      <c r="AF150" s="3"/>
      <c r="AG150" s="3"/>
      <c r="AH150" s="11"/>
      <c r="AI150" s="11"/>
      <c r="AJ150" s="3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</row>
    <row r="151" spans="1:54" x14ac:dyDescent="0.3">
      <c r="A151" s="3">
        <v>31</v>
      </c>
      <c r="B151" s="3" t="str">
        <f>data_주일!D151</f>
        <v>조명임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11"/>
      <c r="Y151" s="11"/>
      <c r="Z151" s="11"/>
      <c r="AA151" s="11"/>
      <c r="AB151" s="3"/>
      <c r="AC151" s="3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</row>
    <row r="152" spans="1:54" x14ac:dyDescent="0.3">
      <c r="A152" s="3">
        <v>31</v>
      </c>
      <c r="B152" s="3" t="str">
        <f>data_주일!D152</f>
        <v>최미영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11"/>
      <c r="Y152" s="11"/>
      <c r="Z152" s="11"/>
      <c r="AA152" s="11"/>
      <c r="AB152" s="11"/>
      <c r="AC152" s="11"/>
      <c r="AD152" s="11"/>
      <c r="AE152" s="11"/>
      <c r="AF152" s="3"/>
      <c r="AG152" s="3"/>
      <c r="AH152" s="11"/>
      <c r="AI152" s="11"/>
      <c r="AJ152" s="3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</row>
    <row r="153" spans="1:54" x14ac:dyDescent="0.3">
      <c r="A153" s="3">
        <v>31</v>
      </c>
      <c r="B153" s="3" t="str">
        <f>data_주일!D153</f>
        <v>최수정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11"/>
      <c r="Y153" s="3"/>
      <c r="Z153" s="11"/>
      <c r="AA153" s="3"/>
      <c r="AB153" s="11"/>
      <c r="AC153" s="3"/>
      <c r="AD153" s="11"/>
      <c r="AE153" s="3"/>
      <c r="AF153" s="3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</row>
    <row r="154" spans="1:54" x14ac:dyDescent="0.3">
      <c r="A154" s="3">
        <v>31</v>
      </c>
      <c r="B154" s="3" t="str">
        <f>data_주일!D154</f>
        <v>김재수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</row>
    <row r="155" spans="1:54" x14ac:dyDescent="0.3">
      <c r="A155" s="3">
        <v>31</v>
      </c>
      <c r="B155" s="3" t="str">
        <f>data_주일!D155</f>
        <v>김외숙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11"/>
      <c r="Z155" s="11"/>
      <c r="AA155" s="11"/>
      <c r="AB155" s="3"/>
      <c r="AC155" s="3"/>
      <c r="AD155" s="11"/>
      <c r="AE155" s="11"/>
      <c r="AF155" s="3"/>
      <c r="AG155" s="3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</row>
    <row r="156" spans="1:54" x14ac:dyDescent="0.3">
      <c r="A156" s="3">
        <v>31</v>
      </c>
      <c r="B156" s="3" t="str">
        <f>data_주일!D156</f>
        <v>서순자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11"/>
      <c r="AA156" s="3"/>
      <c r="AB156" s="3"/>
      <c r="AC156" s="3"/>
      <c r="AD156" s="3"/>
      <c r="AE156" s="3"/>
      <c r="AF156" s="3"/>
      <c r="AG156" s="3"/>
      <c r="AH156" s="11"/>
      <c r="AI156" s="11"/>
      <c r="AJ156" s="3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</row>
    <row r="157" spans="1:54" x14ac:dyDescent="0.3">
      <c r="A157" s="3">
        <v>31</v>
      </c>
      <c r="B157" s="3" t="str">
        <f>data_주일!D157</f>
        <v>이윤옥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11"/>
      <c r="Y157" s="11"/>
      <c r="Z157" s="11"/>
      <c r="AA157" s="11"/>
      <c r="AB157" s="11"/>
      <c r="AC157" s="11"/>
      <c r="AD157" s="11"/>
      <c r="AE157" s="11"/>
      <c r="AF157" s="3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</row>
    <row r="158" spans="1:54" x14ac:dyDescent="0.3">
      <c r="A158" s="3">
        <v>31</v>
      </c>
      <c r="B158" s="3" t="str">
        <f>data_주일!D158</f>
        <v>이정형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11"/>
      <c r="AI158" s="11"/>
      <c r="AJ158" s="3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</row>
    <row r="159" spans="1:54" x14ac:dyDescent="0.3">
      <c r="A159" s="3">
        <v>31</v>
      </c>
      <c r="B159" s="3" t="str">
        <f>data_주일!D159</f>
        <v>이학순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</row>
    <row r="160" spans="1:54" x14ac:dyDescent="0.3">
      <c r="A160" s="3">
        <v>31</v>
      </c>
      <c r="B160" s="3" t="str">
        <f>data_주일!D160</f>
        <v>최순임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</row>
    <row r="161" spans="1:54" x14ac:dyDescent="0.3">
      <c r="A161" s="3">
        <v>31</v>
      </c>
      <c r="B161" s="3" t="str">
        <f>data_주일!D161</f>
        <v>김주현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11"/>
      <c r="AI161" s="11"/>
      <c r="AJ161" s="3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</row>
    <row r="162" spans="1:54" x14ac:dyDescent="0.3">
      <c r="A162" s="3">
        <v>31</v>
      </c>
      <c r="B162" s="3" t="str">
        <f>data_주일!D162</f>
        <v>김채은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11"/>
      <c r="AI162" s="11"/>
      <c r="AJ162" s="3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</row>
    <row r="163" spans="1:54" x14ac:dyDescent="0.3">
      <c r="A163" s="3">
        <v>31</v>
      </c>
      <c r="B163" s="3" t="str">
        <f>data_주일!D163</f>
        <v>김태빈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</row>
    <row r="164" spans="1:54" x14ac:dyDescent="0.3">
      <c r="A164" s="3">
        <v>31</v>
      </c>
      <c r="B164" s="3" t="str">
        <f>data_주일!D164</f>
        <v>김한의(군)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11"/>
      <c r="AI164" s="11"/>
      <c r="AJ164" s="3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</row>
    <row r="165" spans="1:54" x14ac:dyDescent="0.3">
      <c r="A165" s="3">
        <v>31</v>
      </c>
      <c r="B165" s="3" t="str">
        <f>data_주일!D165</f>
        <v>신민준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</row>
    <row r="166" spans="1:54" x14ac:dyDescent="0.3">
      <c r="A166" s="3">
        <v>31</v>
      </c>
      <c r="B166" s="3" t="str">
        <f>data_주일!D166</f>
        <v>이예담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</row>
    <row r="167" spans="1:54" x14ac:dyDescent="0.3">
      <c r="A167" s="3">
        <v>32</v>
      </c>
      <c r="B167" s="3" t="str">
        <f>data_주일!D167</f>
        <v>조하은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</row>
    <row r="168" spans="1:54" x14ac:dyDescent="0.3">
      <c r="A168" s="3">
        <v>32</v>
      </c>
      <c r="B168" s="3" t="str">
        <f>data_주일!D168</f>
        <v>김태욱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</row>
    <row r="169" spans="1:54" x14ac:dyDescent="0.3">
      <c r="A169" s="3">
        <v>32</v>
      </c>
      <c r="B169" s="3" t="str">
        <f>data_주일!D169</f>
        <v>하종구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11"/>
      <c r="AC169" s="3"/>
      <c r="AD169" s="3"/>
      <c r="AE169" s="11"/>
      <c r="AF169" s="3"/>
      <c r="AG169" s="3"/>
      <c r="AH169" s="11"/>
      <c r="AI169" s="11"/>
      <c r="AJ169" s="3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</row>
    <row r="170" spans="1:54" x14ac:dyDescent="0.3">
      <c r="A170" s="3">
        <v>32</v>
      </c>
      <c r="B170" s="3" t="str">
        <f>data_주일!D170</f>
        <v>고현민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11"/>
      <c r="Y170" s="11"/>
      <c r="Z170" s="11"/>
      <c r="AA170" s="11"/>
      <c r="AB170" s="11"/>
      <c r="AC170" s="11"/>
      <c r="AD170" s="11"/>
      <c r="AE170" s="3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</row>
    <row r="171" spans="1:54" x14ac:dyDescent="0.3">
      <c r="A171" s="3">
        <v>32</v>
      </c>
      <c r="B171" s="3" t="str">
        <f>data_주일!D171</f>
        <v>김성령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11"/>
      <c r="Y171" s="3"/>
      <c r="Z171" s="3"/>
      <c r="AA171" s="3"/>
      <c r="AB171" s="3"/>
      <c r="AC171" s="3"/>
      <c r="AD171" s="3"/>
      <c r="AE171" s="3"/>
      <c r="AF171" s="3"/>
      <c r="AG171" s="3"/>
      <c r="AH171" s="11"/>
      <c r="AI171" s="11"/>
      <c r="AJ171" s="3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</row>
    <row r="172" spans="1:54" s="2" customFormat="1" x14ac:dyDescent="0.3">
      <c r="A172" s="3">
        <v>32</v>
      </c>
      <c r="B172" s="3" t="str">
        <f>data_주일!D172</f>
        <v>서기환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:54" x14ac:dyDescent="0.3">
      <c r="A173" s="3">
        <v>32</v>
      </c>
      <c r="B173" s="3" t="str">
        <f>data_주일!D173</f>
        <v>이석찬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</row>
    <row r="174" spans="1:54" x14ac:dyDescent="0.3">
      <c r="A174" s="3">
        <v>32</v>
      </c>
      <c r="B174" s="3" t="str">
        <f>data_주일!D174</f>
        <v>진찬식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</row>
    <row r="175" spans="1:54" x14ac:dyDescent="0.3">
      <c r="A175" s="3">
        <v>32</v>
      </c>
      <c r="B175" s="3" t="str">
        <f>data_주일!D175</f>
        <v>채경원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11"/>
      <c r="Y175" s="11"/>
      <c r="Z175" s="11"/>
      <c r="AA175" s="11"/>
      <c r="AB175" s="11"/>
      <c r="AC175" s="11"/>
      <c r="AD175" s="3"/>
      <c r="AE175" s="3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</row>
    <row r="176" spans="1:54" x14ac:dyDescent="0.3">
      <c r="A176" s="3">
        <v>32</v>
      </c>
      <c r="B176" s="3" t="str">
        <f>data_주일!D176</f>
        <v>윤영희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11"/>
      <c r="Z176" s="3"/>
      <c r="AA176" s="3"/>
      <c r="AB176" s="11"/>
      <c r="AC176" s="3"/>
      <c r="AD176" s="11"/>
      <c r="AE176" s="3"/>
      <c r="AF176" s="3"/>
      <c r="AG176" s="11"/>
      <c r="AH176" s="11"/>
      <c r="AI176" s="11"/>
      <c r="AJ176" s="3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</row>
    <row r="177" spans="1:54" x14ac:dyDescent="0.3">
      <c r="A177" s="3">
        <v>32</v>
      </c>
      <c r="B177" s="3" t="str">
        <f>data_주일!D177</f>
        <v>김성임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11"/>
      <c r="Y177" s="11"/>
      <c r="Z177" s="11"/>
      <c r="AA177" s="3"/>
      <c r="AB177" s="11"/>
      <c r="AC177" s="11"/>
      <c r="AD177" s="11"/>
      <c r="AE177" s="11"/>
      <c r="AF177" s="3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</row>
    <row r="178" spans="1:54" x14ac:dyDescent="0.3">
      <c r="A178" s="3">
        <v>32</v>
      </c>
      <c r="B178" s="3" t="str">
        <f>data_주일!D178</f>
        <v>문경숙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</row>
    <row r="179" spans="1:54" x14ac:dyDescent="0.3">
      <c r="A179" s="3">
        <v>32</v>
      </c>
      <c r="B179" s="3" t="str">
        <f>data_주일!D179</f>
        <v>서순희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</row>
    <row r="180" spans="1:54" x14ac:dyDescent="0.3">
      <c r="A180" s="3">
        <v>32</v>
      </c>
      <c r="B180" s="3" t="str">
        <f>data_주일!D180</f>
        <v>손경희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11"/>
      <c r="Y180" s="11"/>
      <c r="Z180" s="11"/>
      <c r="AA180" s="11"/>
      <c r="AB180" s="11"/>
      <c r="AC180" s="3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</row>
    <row r="181" spans="1:54" x14ac:dyDescent="0.3">
      <c r="A181" s="3">
        <v>32</v>
      </c>
      <c r="B181" s="3" t="str">
        <f>data_주일!D181</f>
        <v>안경희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11"/>
      <c r="AI181" s="11"/>
      <c r="AJ181" s="3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</row>
    <row r="182" spans="1:54" x14ac:dyDescent="0.3">
      <c r="A182" s="3">
        <v>32</v>
      </c>
      <c r="B182" s="3" t="str">
        <f>data_주일!D182</f>
        <v>오은경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</row>
    <row r="183" spans="1:54" x14ac:dyDescent="0.3">
      <c r="A183" s="3">
        <v>32</v>
      </c>
      <c r="B183" s="3" t="str">
        <f>data_주일!D183</f>
        <v>윤정란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11"/>
      <c r="Y183" s="3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3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</row>
    <row r="184" spans="1:54" x14ac:dyDescent="0.3">
      <c r="A184" s="3">
        <v>32</v>
      </c>
      <c r="B184" s="3" t="str">
        <f>data_주일!D184</f>
        <v>이미화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11"/>
      <c r="Y184" s="11"/>
      <c r="Z184" s="3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</row>
    <row r="185" spans="1:54" x14ac:dyDescent="0.3">
      <c r="A185" s="3">
        <v>32</v>
      </c>
      <c r="B185" s="3" t="str">
        <f>data_주일!D185</f>
        <v>임기화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</row>
    <row r="186" spans="1:54" x14ac:dyDescent="0.3">
      <c r="A186" s="3">
        <v>32</v>
      </c>
      <c r="B186" s="3" t="str">
        <f>data_주일!D186</f>
        <v>김숙희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</row>
    <row r="187" spans="1:54" x14ac:dyDescent="0.3">
      <c r="A187" s="3">
        <v>32</v>
      </c>
      <c r="B187" s="3" t="str">
        <f>data_주일!D187</f>
        <v>노부남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</row>
    <row r="188" spans="1:54" x14ac:dyDescent="0.3">
      <c r="A188" s="3">
        <v>32</v>
      </c>
      <c r="B188" s="3" t="str">
        <f>data_주일!D188</f>
        <v>백미자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11"/>
      <c r="Z188" s="11"/>
      <c r="AA188" s="3"/>
      <c r="AB188" s="3"/>
      <c r="AC188" s="11"/>
      <c r="AD188" s="3"/>
      <c r="AE188" s="3"/>
      <c r="AF188" s="3"/>
      <c r="AG188" s="3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</row>
    <row r="189" spans="1:54" x14ac:dyDescent="0.3">
      <c r="A189" s="3">
        <v>32</v>
      </c>
      <c r="B189" s="3" t="str">
        <f>data_주일!D189</f>
        <v>임정숙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</row>
    <row r="190" spans="1:54" x14ac:dyDescent="0.3">
      <c r="A190" s="3">
        <v>32</v>
      </c>
      <c r="B190" s="3" t="str">
        <f>data_주일!D190</f>
        <v>한연수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</row>
    <row r="191" spans="1:54" x14ac:dyDescent="0.3">
      <c r="A191" s="3">
        <v>32</v>
      </c>
      <c r="B191" s="3" t="str">
        <f>data_주일!D191</f>
        <v>김병훈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11"/>
      <c r="AG191" s="11"/>
      <c r="AH191" s="11"/>
      <c r="AI191" s="11"/>
      <c r="AJ191" s="3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</row>
    <row r="192" spans="1:54" x14ac:dyDescent="0.3">
      <c r="A192" s="3">
        <v>32</v>
      </c>
      <c r="B192" s="3" t="str">
        <f>data_주일!D192</f>
        <v>김동환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11"/>
      <c r="Z192" s="11"/>
      <c r="AA192" s="11"/>
      <c r="AB192" s="3"/>
      <c r="AC192" s="11"/>
      <c r="AD192" s="3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</row>
    <row r="193" spans="1:54" x14ac:dyDescent="0.3">
      <c r="A193" s="3">
        <v>32</v>
      </c>
      <c r="B193" s="3" t="str">
        <f>data_주일!D193</f>
        <v>김보경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11"/>
      <c r="Y193" s="11"/>
      <c r="Z193" s="3"/>
      <c r="AA193" s="11"/>
      <c r="AB193" s="11"/>
      <c r="AC193" s="3"/>
      <c r="AD193" s="3"/>
      <c r="AE193" s="3"/>
      <c r="AF193" s="11"/>
      <c r="AG193" s="11"/>
      <c r="AH193" s="11"/>
      <c r="AI193" s="11"/>
      <c r="AJ193" s="3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</row>
    <row r="194" spans="1:54" x14ac:dyDescent="0.3">
      <c r="A194" s="3">
        <v>32</v>
      </c>
      <c r="B194" s="3" t="str">
        <f>data_주일!D194</f>
        <v>김현수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11"/>
      <c r="Y194" s="3"/>
      <c r="Z194" s="3"/>
      <c r="AA194" s="11"/>
      <c r="AB194" s="3"/>
      <c r="AC194" s="3"/>
      <c r="AD194" s="3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</row>
    <row r="195" spans="1:54" x14ac:dyDescent="0.3">
      <c r="A195" s="3">
        <v>33</v>
      </c>
      <c r="B195" s="3" t="str">
        <f>data_주일!D195</f>
        <v>왕혜원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</row>
    <row r="196" spans="1:54" x14ac:dyDescent="0.3">
      <c r="A196" s="3">
        <v>33</v>
      </c>
      <c r="B196" s="3" t="str">
        <f>data_주일!D196</f>
        <v>하진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</row>
    <row r="197" spans="1:54" x14ac:dyDescent="0.3">
      <c r="A197" s="3">
        <v>33</v>
      </c>
      <c r="B197" s="3" t="str">
        <f>data_주일!D197</f>
        <v>윤정훈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11"/>
      <c r="AG197" s="11"/>
      <c r="AH197" s="11"/>
      <c r="AI197" s="11"/>
      <c r="AJ197" s="3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</row>
    <row r="198" spans="1:54" x14ac:dyDescent="0.3">
      <c r="A198" s="3">
        <v>33</v>
      </c>
      <c r="B198" s="3" t="str">
        <f>data_주일!D198</f>
        <v>백재민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11"/>
      <c r="AG198" s="11"/>
      <c r="AH198" s="11"/>
      <c r="AI198" s="11"/>
      <c r="AJ198" s="3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</row>
    <row r="199" spans="1:54" x14ac:dyDescent="0.3">
      <c r="A199" s="3">
        <v>33</v>
      </c>
      <c r="B199" s="3" t="str">
        <f>data_주일!D199</f>
        <v>서주영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</row>
    <row r="200" spans="1:54" x14ac:dyDescent="0.3">
      <c r="A200" s="3">
        <v>33</v>
      </c>
      <c r="B200" s="3" t="str">
        <f>data_주일!D200</f>
        <v>정다움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11"/>
      <c r="AG200" s="11"/>
      <c r="AH200" s="11"/>
      <c r="AI200" s="11"/>
      <c r="AJ200" s="3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</row>
    <row r="201" spans="1:54" x14ac:dyDescent="0.3">
      <c r="A201" s="3">
        <v>33</v>
      </c>
      <c r="B201" s="3" t="str">
        <f>data_주일!D201</f>
        <v>박선경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</row>
    <row r="202" spans="1:54" x14ac:dyDescent="0.3">
      <c r="A202" s="3">
        <v>33</v>
      </c>
      <c r="B202" s="3" t="str">
        <f>data_주일!D202</f>
        <v>강명자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</row>
    <row r="203" spans="1:54" x14ac:dyDescent="0.3">
      <c r="A203" s="3">
        <v>33</v>
      </c>
      <c r="B203" s="3" t="str">
        <f>data_주일!D203</f>
        <v>이가희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11"/>
      <c r="AF203" s="11"/>
      <c r="AG203" s="11"/>
      <c r="AH203" s="11"/>
      <c r="AI203" s="11"/>
      <c r="AJ203" s="3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</row>
    <row r="204" spans="1:54" x14ac:dyDescent="0.3">
      <c r="A204" s="3">
        <v>33</v>
      </c>
      <c r="B204" s="3" t="str">
        <f>data_주일!D204</f>
        <v>이수연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</row>
    <row r="205" spans="1:54" x14ac:dyDescent="0.3">
      <c r="A205" s="3">
        <v>33</v>
      </c>
      <c r="B205" s="3" t="str">
        <f>data_주일!D205</f>
        <v>최정숙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</row>
    <row r="206" spans="1:54" x14ac:dyDescent="0.3">
      <c r="A206" s="3">
        <v>33</v>
      </c>
      <c r="B206" s="3" t="str">
        <f>data_주일!D206</f>
        <v>김미수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11"/>
      <c r="AG206" s="11"/>
      <c r="AH206" s="11"/>
      <c r="AI206" s="11"/>
      <c r="AJ206" s="3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</row>
    <row r="207" spans="1:54" x14ac:dyDescent="0.3">
      <c r="A207" s="3">
        <v>41</v>
      </c>
      <c r="B207" s="3" t="str">
        <f>data_주일!D207</f>
        <v>배미정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11"/>
      <c r="Y207" s="11"/>
      <c r="Z207" s="3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</row>
    <row r="208" spans="1:54" x14ac:dyDescent="0.3">
      <c r="A208" s="3">
        <v>41</v>
      </c>
      <c r="B208" s="3" t="str">
        <f>data_주일!D208</f>
        <v>양종우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11"/>
      <c r="Y208" s="11"/>
      <c r="Z208" s="3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</row>
    <row r="209" spans="1:54" x14ac:dyDescent="0.3">
      <c r="A209" s="3">
        <v>41</v>
      </c>
      <c r="B209" s="3" t="str">
        <f>data_주일!D209</f>
        <v>조정환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</row>
    <row r="210" spans="1:54" x14ac:dyDescent="0.3">
      <c r="A210" s="3">
        <v>41</v>
      </c>
      <c r="B210" s="3" t="str">
        <f>data_주일!D210</f>
        <v>강승윤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11"/>
      <c r="AG210" s="11"/>
      <c r="AH210" s="11"/>
      <c r="AI210" s="11"/>
      <c r="AJ210" s="3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</row>
    <row r="211" spans="1:54" x14ac:dyDescent="0.3">
      <c r="A211" s="3">
        <v>41</v>
      </c>
      <c r="B211" s="3" t="str">
        <f>data_주일!D211</f>
        <v>권동구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</row>
    <row r="212" spans="1:54" x14ac:dyDescent="0.3">
      <c r="A212" s="3">
        <v>41</v>
      </c>
      <c r="B212" s="3" t="str">
        <f>data_주일!D212</f>
        <v>김양곤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11"/>
      <c r="Y212" s="11"/>
      <c r="Z212" s="3"/>
      <c r="AA212" s="11"/>
      <c r="AB212" s="11"/>
      <c r="AC212" s="11"/>
      <c r="AD212" s="11"/>
      <c r="AE212" s="11"/>
      <c r="AF212" s="11"/>
      <c r="AG212" s="11"/>
      <c r="AH212" s="11"/>
      <c r="AI212" s="11"/>
      <c r="AJ212" s="3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</row>
    <row r="213" spans="1:54" x14ac:dyDescent="0.3">
      <c r="A213" s="3">
        <v>41</v>
      </c>
      <c r="B213" s="3" t="str">
        <f>data_주일!D213</f>
        <v>김종증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11"/>
      <c r="AG213" s="11"/>
      <c r="AH213" s="11"/>
      <c r="AI213" s="11"/>
      <c r="AJ213" s="3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</row>
    <row r="214" spans="1:54" x14ac:dyDescent="0.3">
      <c r="A214" s="3">
        <v>41</v>
      </c>
      <c r="B214" s="3" t="str">
        <f>data_주일!D214</f>
        <v>박종한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3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</row>
    <row r="215" spans="1:54" x14ac:dyDescent="0.3">
      <c r="A215" s="3">
        <v>41</v>
      </c>
      <c r="B215" s="3" t="str">
        <f>data_주일!D215</f>
        <v>배종찬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11"/>
      <c r="Y215" s="3"/>
      <c r="Z215" s="11"/>
      <c r="AA215" s="3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</row>
    <row r="216" spans="1:54" x14ac:dyDescent="0.3">
      <c r="A216" s="3">
        <v>41</v>
      </c>
      <c r="B216" s="3" t="str">
        <f>data_주일!D216</f>
        <v>오주홍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11"/>
      <c r="Y216" s="3"/>
      <c r="Z216" s="11"/>
      <c r="AA216" s="3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</row>
    <row r="217" spans="1:54" x14ac:dyDescent="0.3">
      <c r="A217" s="3">
        <v>41</v>
      </c>
      <c r="B217" s="3" t="str">
        <f>data_주일!D217</f>
        <v>우호성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11"/>
      <c r="Y217" s="11"/>
      <c r="Z217" s="11"/>
      <c r="AA217" s="11"/>
      <c r="AB217" s="11"/>
      <c r="AC217" s="3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</row>
    <row r="218" spans="1:54" x14ac:dyDescent="0.3">
      <c r="A218" s="3">
        <v>41</v>
      </c>
      <c r="B218" s="3" t="str">
        <f>data_주일!D218</f>
        <v>조성민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</row>
    <row r="219" spans="1:54" x14ac:dyDescent="0.3">
      <c r="A219" s="3">
        <v>41</v>
      </c>
      <c r="B219" s="3" t="str">
        <f>data_주일!D219</f>
        <v>백종애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</row>
    <row r="220" spans="1:54" x14ac:dyDescent="0.3">
      <c r="A220" s="3">
        <v>41</v>
      </c>
      <c r="B220" s="3" t="str">
        <f>data_주일!D220</f>
        <v>김미옥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</row>
    <row r="221" spans="1:54" x14ac:dyDescent="0.3">
      <c r="A221" s="3">
        <v>41</v>
      </c>
      <c r="B221" s="3" t="str">
        <f>data_주일!D221</f>
        <v>오주은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</row>
    <row r="222" spans="1:54" x14ac:dyDescent="0.3">
      <c r="A222" s="3">
        <v>41</v>
      </c>
      <c r="B222" s="3" t="str">
        <f>data_주일!D222</f>
        <v>온주란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</row>
    <row r="223" spans="1:54" x14ac:dyDescent="0.3">
      <c r="A223" s="3">
        <v>41</v>
      </c>
      <c r="B223" s="3" t="str">
        <f>data_주일!D223</f>
        <v>유이순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</row>
    <row r="224" spans="1:54" x14ac:dyDescent="0.3">
      <c r="A224" s="3">
        <v>41</v>
      </c>
      <c r="B224" s="3" t="str">
        <f>data_주일!D224</f>
        <v>이순애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</row>
    <row r="225" spans="1:54" x14ac:dyDescent="0.3">
      <c r="A225" s="3">
        <v>41</v>
      </c>
      <c r="B225" s="3" t="str">
        <f>data_주일!D225</f>
        <v>전영애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11"/>
      <c r="AC225" s="3"/>
      <c r="AD225" s="3"/>
      <c r="AE225" s="3"/>
      <c r="AF225" s="3"/>
      <c r="AG225" s="3"/>
      <c r="AH225" s="11"/>
      <c r="AI225" s="11"/>
      <c r="AJ225" s="3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</row>
    <row r="226" spans="1:54" x14ac:dyDescent="0.3">
      <c r="A226" s="3">
        <v>41</v>
      </c>
      <c r="B226" s="3" t="str">
        <f>data_주일!D226</f>
        <v>정미화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11"/>
      <c r="Y226" s="3"/>
      <c r="Z226" s="11"/>
      <c r="AA226" s="11"/>
      <c r="AB226" s="3"/>
      <c r="AC226" s="11"/>
      <c r="AD226" s="11"/>
      <c r="AE226" s="11"/>
      <c r="AF226" s="3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</row>
    <row r="227" spans="1:54" x14ac:dyDescent="0.3">
      <c r="A227" s="3">
        <v>41</v>
      </c>
      <c r="B227" s="3" t="str">
        <f>data_주일!D227</f>
        <v>지솔미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11"/>
      <c r="Y227" s="3"/>
      <c r="Z227" s="3"/>
      <c r="AA227" s="3"/>
      <c r="AB227" s="3"/>
      <c r="AC227" s="3"/>
      <c r="AD227" s="11"/>
      <c r="AE227" s="3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</row>
    <row r="228" spans="1:54" x14ac:dyDescent="0.3">
      <c r="A228" s="3">
        <v>41</v>
      </c>
      <c r="B228" s="3" t="str">
        <f>data_주일!D228</f>
        <v>홍순애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11"/>
      <c r="Y228" s="3"/>
      <c r="Z228" s="3"/>
      <c r="AA228" s="11"/>
      <c r="AB228" s="3"/>
      <c r="AC228" s="11"/>
      <c r="AD228" s="11"/>
      <c r="AE228" s="3"/>
      <c r="AF228" s="3"/>
      <c r="AG228" s="3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</row>
    <row r="229" spans="1:54" x14ac:dyDescent="0.3">
      <c r="A229" s="3">
        <v>41</v>
      </c>
      <c r="B229" s="3" t="str">
        <f>data_주일!D229</f>
        <v>감애옥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</row>
    <row r="230" spans="1:54" x14ac:dyDescent="0.3">
      <c r="A230" s="3">
        <v>41</v>
      </c>
      <c r="B230" s="3" t="str">
        <f>data_주일!D230</f>
        <v>박원배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11"/>
      <c r="Y230" s="11"/>
      <c r="Z230" s="3"/>
      <c r="AA230" s="3"/>
      <c r="AB230" s="11"/>
      <c r="AC230" s="3"/>
      <c r="AD230" s="3"/>
      <c r="AE230" s="3"/>
      <c r="AF230" s="3"/>
      <c r="AG230" s="3"/>
      <c r="AH230" s="11"/>
      <c r="AI230" s="11"/>
      <c r="AJ230" s="3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</row>
    <row r="231" spans="1:54" x14ac:dyDescent="0.3">
      <c r="A231" s="3">
        <v>41</v>
      </c>
      <c r="B231" s="3" t="str">
        <f>data_주일!D231</f>
        <v>정주상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11"/>
      <c r="Y231" s="11"/>
      <c r="Z231" s="11"/>
      <c r="AA231" s="11"/>
      <c r="AB231" s="11"/>
      <c r="AC231" s="11"/>
      <c r="AD231" s="11"/>
      <c r="AE231" s="3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</row>
    <row r="232" spans="1:54" x14ac:dyDescent="0.3">
      <c r="A232" s="3">
        <v>41</v>
      </c>
      <c r="B232" s="3" t="str">
        <f>data_주일!D232</f>
        <v>오민성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11"/>
      <c r="AI232" s="11"/>
      <c r="AJ232" s="3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</row>
    <row r="233" spans="1:54" x14ac:dyDescent="0.3">
      <c r="A233" s="3">
        <v>41</v>
      </c>
      <c r="B233" s="3" t="str">
        <f>data_주일!D233</f>
        <v>오민혁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11"/>
      <c r="AE233" s="3"/>
      <c r="AF233" s="3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</row>
    <row r="234" spans="1:54" x14ac:dyDescent="0.3">
      <c r="A234" s="3">
        <v>41</v>
      </c>
      <c r="B234" s="3" t="str">
        <f>data_주일!D234</f>
        <v>왕준수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11"/>
      <c r="Y234" s="3"/>
      <c r="Z234" s="3"/>
      <c r="AA234" s="3"/>
      <c r="AB234" s="3"/>
      <c r="AC234" s="3"/>
      <c r="AD234" s="11"/>
      <c r="AE234" s="3"/>
      <c r="AF234" s="3"/>
      <c r="AG234" s="3"/>
      <c r="AH234" s="11"/>
      <c r="AI234" s="11"/>
      <c r="AJ234" s="3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</row>
    <row r="235" spans="1:54" x14ac:dyDescent="0.3">
      <c r="A235" s="3">
        <v>41</v>
      </c>
      <c r="B235" s="3" t="str">
        <f>data_주일!D235</f>
        <v>장연지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11"/>
      <c r="AI235" s="11"/>
      <c r="AJ235" s="3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</row>
    <row r="236" spans="1:54" x14ac:dyDescent="0.3">
      <c r="A236" s="3">
        <v>41</v>
      </c>
      <c r="B236" s="3" t="str">
        <f>data_주일!D236</f>
        <v>장유정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11"/>
      <c r="AC236" s="3"/>
      <c r="AD236" s="3"/>
      <c r="AE236" s="3"/>
      <c r="AF236" s="3"/>
      <c r="AG236" s="3"/>
      <c r="AH236" s="11"/>
      <c r="AI236" s="11"/>
      <c r="AJ236" s="3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</row>
    <row r="237" spans="1:54" x14ac:dyDescent="0.3">
      <c r="A237" s="3">
        <v>42</v>
      </c>
      <c r="B237" s="3" t="str">
        <f>data_주일!D237</f>
        <v>정선웅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11"/>
      <c r="Y237" s="11"/>
      <c r="Z237" s="11"/>
      <c r="AA237" s="3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</row>
    <row r="238" spans="1:54" x14ac:dyDescent="0.3">
      <c r="A238" s="3">
        <v>42</v>
      </c>
      <c r="B238" s="3" t="e">
        <f>data_주일!#REF!</f>
        <v>#REF!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3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</row>
    <row r="239" spans="1:54" x14ac:dyDescent="0.3">
      <c r="A239" s="3">
        <v>42</v>
      </c>
      <c r="B239" s="3" t="str">
        <f>data_주일!D238</f>
        <v>박성찬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3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</row>
    <row r="240" spans="1:54" x14ac:dyDescent="0.3">
      <c r="A240" s="3">
        <v>42</v>
      </c>
      <c r="B240" s="3" t="str">
        <f>data_주일!D239</f>
        <v>서종호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</row>
    <row r="241" spans="1:54" x14ac:dyDescent="0.3">
      <c r="A241" s="3">
        <v>42</v>
      </c>
      <c r="B241" s="3" t="str">
        <f>data_주일!D240</f>
        <v>우경태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11"/>
      <c r="AF241" s="3"/>
      <c r="AG241" s="3"/>
      <c r="AH241" s="11"/>
      <c r="AI241" s="11"/>
      <c r="AJ241" s="3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</row>
    <row r="242" spans="1:54" x14ac:dyDescent="0.3">
      <c r="A242" s="3">
        <v>42</v>
      </c>
      <c r="B242" s="3" t="str">
        <f>data_주일!D241</f>
        <v>장승호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</row>
    <row r="243" spans="1:54" x14ac:dyDescent="0.3">
      <c r="A243" s="3">
        <v>42</v>
      </c>
      <c r="B243" s="3" t="str">
        <f>data_주일!D242</f>
        <v>황상진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11"/>
      <c r="AI243" s="11"/>
      <c r="AJ243" s="3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</row>
    <row r="244" spans="1:54" x14ac:dyDescent="0.3">
      <c r="A244" s="3">
        <v>42</v>
      </c>
      <c r="B244" s="3" t="str">
        <f>data_주일!D243</f>
        <v>황윤실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11"/>
      <c r="AI244" s="11"/>
      <c r="AJ244" s="3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</row>
    <row r="245" spans="1:54" x14ac:dyDescent="0.3">
      <c r="A245" s="3">
        <v>42</v>
      </c>
      <c r="B245" s="3" t="str">
        <f>data_주일!D244</f>
        <v>김대호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</row>
    <row r="246" spans="1:54" x14ac:dyDescent="0.3">
      <c r="A246" s="3">
        <v>42</v>
      </c>
      <c r="B246" s="3" t="str">
        <f>data_주일!D245</f>
        <v>조정화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</row>
    <row r="247" spans="1:54" x14ac:dyDescent="0.3">
      <c r="A247" s="3">
        <v>42</v>
      </c>
      <c r="B247" s="3" t="str">
        <f>data_주일!D246</f>
        <v>김선희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</row>
    <row r="248" spans="1:54" x14ac:dyDescent="0.3">
      <c r="A248" s="3">
        <v>42</v>
      </c>
      <c r="B248" s="3" t="str">
        <f>data_주일!D247</f>
        <v>김현숙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</row>
    <row r="249" spans="1:54" x14ac:dyDescent="0.3">
      <c r="A249" s="3">
        <v>42</v>
      </c>
      <c r="B249" s="3" t="str">
        <f>data_주일!D248</f>
        <v>송영화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</row>
    <row r="250" spans="1:54" x14ac:dyDescent="0.3">
      <c r="A250" s="3">
        <v>42</v>
      </c>
      <c r="B250" s="3" t="str">
        <f>data_주일!D249</f>
        <v>우지현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</row>
    <row r="251" spans="1:54" x14ac:dyDescent="0.3">
      <c r="A251" s="3">
        <v>42</v>
      </c>
      <c r="B251" s="3" t="str">
        <f>data_주일!D250</f>
        <v>이말연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11"/>
      <c r="AI251" s="11"/>
      <c r="AJ251" s="3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</row>
    <row r="252" spans="1:54" x14ac:dyDescent="0.3">
      <c r="A252" s="3">
        <v>42</v>
      </c>
      <c r="B252" s="3" t="str">
        <f>data_주일!D251</f>
        <v>이영순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11"/>
      <c r="AI252" s="11"/>
      <c r="AJ252" s="3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</row>
    <row r="253" spans="1:54" x14ac:dyDescent="0.3">
      <c r="A253" s="3">
        <v>42</v>
      </c>
      <c r="B253" s="3" t="str">
        <f>data_주일!D252</f>
        <v>홍금숙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11"/>
      <c r="AE253" s="3"/>
      <c r="AF253" s="3"/>
      <c r="AG253" s="3"/>
      <c r="AH253" s="11"/>
      <c r="AI253" s="11"/>
      <c r="AJ253" s="3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</row>
    <row r="254" spans="1:54" x14ac:dyDescent="0.3">
      <c r="A254" s="3">
        <v>42</v>
      </c>
      <c r="B254" s="3" t="str">
        <f>data_주일!D253</f>
        <v>최화경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11"/>
      <c r="Z254" s="11"/>
      <c r="AA254" s="11"/>
      <c r="AB254" s="11"/>
      <c r="AC254" s="11"/>
      <c r="AD254" s="11"/>
      <c r="AE254" s="11"/>
      <c r="AF254" s="3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</row>
    <row r="255" spans="1:54" x14ac:dyDescent="0.3">
      <c r="A255" s="3">
        <v>42</v>
      </c>
      <c r="B255" s="3" t="str">
        <f>data_주일!D254</f>
        <v>권유희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</row>
    <row r="256" spans="1:54" x14ac:dyDescent="0.3">
      <c r="A256" s="3">
        <v>42</v>
      </c>
      <c r="B256" s="3" t="str">
        <f>data_주일!D255</f>
        <v>김정순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11"/>
      <c r="Z256" s="3"/>
      <c r="AA256" s="3"/>
      <c r="AB256" s="11"/>
      <c r="AC256" s="3"/>
      <c r="AD256" s="3"/>
      <c r="AE256" s="3"/>
      <c r="AF256" s="11"/>
      <c r="AG256" s="11"/>
      <c r="AH256" s="11"/>
      <c r="AI256" s="11"/>
      <c r="AJ256" s="3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</row>
    <row r="257" spans="1:54" x14ac:dyDescent="0.3">
      <c r="A257" s="3">
        <v>42</v>
      </c>
      <c r="B257" s="3" t="str">
        <f>data_주일!D256</f>
        <v>박경순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3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</row>
    <row r="258" spans="1:54" x14ac:dyDescent="0.3">
      <c r="A258" s="3">
        <v>42</v>
      </c>
      <c r="B258" s="3" t="str">
        <f>data_주일!D257</f>
        <v>박복남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</row>
    <row r="259" spans="1:54" x14ac:dyDescent="0.3">
      <c r="A259" s="3">
        <v>42</v>
      </c>
      <c r="B259" s="3" t="str">
        <f>data_주일!D258</f>
        <v>최백숙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11"/>
      <c r="Y259" s="3"/>
      <c r="Z259" s="3"/>
      <c r="AA259" s="3"/>
      <c r="AB259" s="11"/>
      <c r="AC259" s="3"/>
      <c r="AD259" s="11"/>
      <c r="AE259" s="3"/>
      <c r="AF259" s="11"/>
      <c r="AG259" s="11"/>
      <c r="AH259" s="11"/>
      <c r="AI259" s="11"/>
      <c r="AJ259" s="3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</row>
    <row r="260" spans="1:54" x14ac:dyDescent="0.3">
      <c r="A260" s="3">
        <v>42</v>
      </c>
      <c r="B260" s="3" t="str">
        <f>data_주일!D259</f>
        <v>김동현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11"/>
      <c r="Y260" s="11"/>
      <c r="Z260" s="11"/>
      <c r="AA260" s="3"/>
      <c r="AB260" s="11"/>
      <c r="AC260" s="11"/>
      <c r="AD260" s="11"/>
      <c r="AE260" s="11"/>
      <c r="AF260" s="11"/>
      <c r="AG260" s="11"/>
      <c r="AH260" s="11"/>
      <c r="AI260" s="11"/>
      <c r="AJ260" s="3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</row>
    <row r="261" spans="1:54" x14ac:dyDescent="0.3">
      <c r="A261" s="3">
        <v>42</v>
      </c>
      <c r="B261" s="3" t="str">
        <f>data_주일!D260</f>
        <v>김정문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11"/>
      <c r="AC261" s="3"/>
      <c r="AD261" s="3"/>
      <c r="AE261" s="3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</row>
    <row r="262" spans="1:54" x14ac:dyDescent="0.3">
      <c r="A262" s="3">
        <v>42</v>
      </c>
      <c r="B262" s="3" t="str">
        <f>data_주일!D261</f>
        <v>김정현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11"/>
      <c r="Y262" s="3"/>
      <c r="Z262" s="3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</row>
    <row r="263" spans="1:54" x14ac:dyDescent="0.3">
      <c r="A263" s="3">
        <v>42</v>
      </c>
      <c r="B263" s="3" t="str">
        <f>data_주일!D262</f>
        <v>이채은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11"/>
      <c r="AC263" s="3"/>
      <c r="AD263" s="3"/>
      <c r="AE263" s="11"/>
      <c r="AF263" s="11"/>
      <c r="AG263" s="11"/>
      <c r="AH263" s="11"/>
      <c r="AI263" s="11"/>
      <c r="AJ263" s="3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</row>
    <row r="264" spans="1:54" x14ac:dyDescent="0.3">
      <c r="A264" s="3">
        <v>43</v>
      </c>
      <c r="B264" s="3" t="str">
        <f>data_주일!D263</f>
        <v>이한나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11"/>
      <c r="Y264" s="3"/>
      <c r="Z264" s="11"/>
      <c r="AA264" s="3"/>
      <c r="AB264" s="11"/>
      <c r="AC264" s="11"/>
      <c r="AD264" s="11"/>
      <c r="AE264" s="11"/>
      <c r="AF264" s="11"/>
      <c r="AG264" s="11"/>
      <c r="AH264" s="11"/>
      <c r="AI264" s="11"/>
      <c r="AJ264" s="3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</row>
    <row r="265" spans="1:54" x14ac:dyDescent="0.3">
      <c r="A265" s="3">
        <v>43</v>
      </c>
      <c r="B265" s="3" t="str">
        <f>data_주일!D264</f>
        <v>윤혜주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11"/>
      <c r="AC265" s="3"/>
      <c r="AD265" s="3"/>
      <c r="AE265" s="3"/>
      <c r="AF265" s="11"/>
      <c r="AG265" s="11"/>
      <c r="AH265" s="11"/>
      <c r="AI265" s="11"/>
      <c r="AJ265" s="3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</row>
    <row r="266" spans="1:54" x14ac:dyDescent="0.3">
      <c r="A266" s="3">
        <v>43</v>
      </c>
      <c r="B266" s="3" t="str">
        <f>data_주일!D265</f>
        <v>서병욱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11"/>
      <c r="Y266" s="3"/>
      <c r="Z266" s="11"/>
      <c r="AA266" s="3"/>
      <c r="AB266" s="11"/>
      <c r="AC266" s="3"/>
      <c r="AD266" s="3"/>
      <c r="AE266" s="3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</row>
    <row r="267" spans="1:54" x14ac:dyDescent="0.3">
      <c r="A267" s="3">
        <v>43</v>
      </c>
      <c r="B267" s="3" t="str">
        <f>data_주일!D266</f>
        <v>손정한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11"/>
      <c r="AC267" s="3"/>
      <c r="AD267" s="3"/>
      <c r="AE267" s="3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</row>
    <row r="268" spans="1:54" x14ac:dyDescent="0.3">
      <c r="A268" s="3">
        <v>43</v>
      </c>
      <c r="B268" s="3" t="str">
        <f>data_주일!D267</f>
        <v>김상호</v>
      </c>
      <c r="C268" s="3"/>
      <c r="D268" s="3"/>
      <c r="E268" s="3"/>
      <c r="F268" s="3"/>
      <c r="G268" s="3"/>
      <c r="H268" s="4"/>
      <c r="I268" s="4"/>
      <c r="J268" s="3"/>
      <c r="K268" s="4"/>
      <c r="L268" s="4"/>
      <c r="M268" s="4"/>
      <c r="N268" s="4"/>
      <c r="O268" s="4"/>
      <c r="P268" s="3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3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</row>
    <row r="269" spans="1:54" x14ac:dyDescent="0.3">
      <c r="A269" s="3">
        <v>43</v>
      </c>
      <c r="B269" s="3" t="str">
        <f>data_주일!D268</f>
        <v>김종웅</v>
      </c>
      <c r="C269" s="3"/>
      <c r="D269" s="3"/>
      <c r="E269" s="3"/>
      <c r="F269" s="10"/>
      <c r="G269" s="4"/>
      <c r="H269" s="4"/>
      <c r="I269" s="4"/>
      <c r="J269" s="3"/>
      <c r="K269" s="4"/>
      <c r="L269" s="4"/>
      <c r="M269" s="4"/>
      <c r="N269" s="4"/>
      <c r="O269" s="3"/>
      <c r="P269" s="3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3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</row>
    <row r="270" spans="1:54" x14ac:dyDescent="0.3">
      <c r="A270" s="3">
        <v>43</v>
      </c>
      <c r="B270" s="3" t="str">
        <f>data_주일!D269</f>
        <v>민경리</v>
      </c>
      <c r="C270" s="3"/>
      <c r="D270" s="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3"/>
      <c r="Q270" s="11"/>
      <c r="R270" s="11"/>
      <c r="S270" s="11"/>
      <c r="T270" s="11"/>
      <c r="U270" s="3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3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</row>
    <row r="271" spans="1:54" x14ac:dyDescent="0.3">
      <c r="A271" s="3">
        <v>43</v>
      </c>
      <c r="B271" s="3" t="str">
        <f>data_주일!D270</f>
        <v>이종복</v>
      </c>
      <c r="C271" s="3"/>
      <c r="D271" s="3"/>
      <c r="E271" s="3"/>
      <c r="F271" s="3"/>
      <c r="G271" s="3"/>
      <c r="H271" s="3"/>
      <c r="I271" s="4"/>
      <c r="J271" s="3"/>
      <c r="K271" s="3"/>
      <c r="L271" s="3"/>
      <c r="M271" s="3"/>
      <c r="N271" s="4"/>
      <c r="O271" s="3"/>
      <c r="P271" s="3"/>
      <c r="Q271" s="3"/>
      <c r="R271" s="11"/>
      <c r="S271" s="11"/>
      <c r="T271" s="11"/>
      <c r="U271" s="3"/>
      <c r="V271" s="11"/>
      <c r="W271" s="11"/>
      <c r="X271" s="11"/>
      <c r="Y271" s="11"/>
      <c r="Z271" s="3"/>
      <c r="AA271" s="3"/>
      <c r="AB271" s="11"/>
      <c r="AC271" s="11"/>
      <c r="AD271" s="11"/>
      <c r="AE271" s="11"/>
      <c r="AF271" s="11"/>
      <c r="AG271" s="11"/>
      <c r="AH271" s="11"/>
      <c r="AI271" s="11"/>
      <c r="AJ271" s="3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</row>
    <row r="272" spans="1:54" x14ac:dyDescent="0.3">
      <c r="A272" s="3">
        <v>43</v>
      </c>
      <c r="B272" s="3" t="str">
        <f>data_주일!D271</f>
        <v>전쾌수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11"/>
      <c r="Y272" s="11"/>
      <c r="Z272" s="11"/>
      <c r="AA272" s="3"/>
      <c r="AB272" s="11"/>
      <c r="AC272" s="11"/>
      <c r="AD272" s="11"/>
      <c r="AE272" s="11"/>
      <c r="AF272" s="11"/>
      <c r="AG272" s="11"/>
      <c r="AH272" s="11"/>
      <c r="AI272" s="11"/>
      <c r="AJ272" s="3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</row>
    <row r="273" spans="1:54" x14ac:dyDescent="0.3">
      <c r="A273" s="3">
        <v>43</v>
      </c>
      <c r="B273" s="3" t="str">
        <f>data_주일!D272</f>
        <v>지용남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</row>
    <row r="274" spans="1:54" x14ac:dyDescent="0.3">
      <c r="A274" s="3">
        <v>43</v>
      </c>
      <c r="B274" s="3" t="str">
        <f>data_주일!D273</f>
        <v>채병연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11"/>
      <c r="Y274" s="11"/>
      <c r="Z274" s="11"/>
      <c r="AA274" s="3"/>
      <c r="AB274" s="11"/>
      <c r="AC274" s="11"/>
      <c r="AD274" s="11"/>
      <c r="AE274" s="11"/>
      <c r="AF274" s="11"/>
      <c r="AG274" s="11"/>
      <c r="AH274" s="11"/>
      <c r="AI274" s="11"/>
      <c r="AJ274" s="3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</row>
    <row r="275" spans="1:54" x14ac:dyDescent="0.3">
      <c r="A275" s="3">
        <v>43</v>
      </c>
      <c r="B275" s="3" t="str">
        <f>data_주일!D274</f>
        <v>황규진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11"/>
      <c r="Y275" s="11"/>
      <c r="Z275" s="11"/>
      <c r="AA275" s="3"/>
      <c r="AB275" s="11"/>
      <c r="AC275" s="11"/>
      <c r="AD275" s="11"/>
      <c r="AE275" s="11"/>
      <c r="AF275" s="11"/>
      <c r="AG275" s="11"/>
      <c r="AH275" s="11"/>
      <c r="AI275" s="11"/>
      <c r="AJ275" s="3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</row>
    <row r="276" spans="1:54" x14ac:dyDescent="0.3">
      <c r="A276" s="3">
        <v>43</v>
      </c>
      <c r="B276" s="3" t="str">
        <f>data_주일!D275</f>
        <v>김정미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11"/>
      <c r="AC276" s="3"/>
      <c r="AD276" s="11"/>
      <c r="AE276" s="3"/>
      <c r="AF276" s="11"/>
      <c r="AG276" s="11"/>
      <c r="AH276" s="11"/>
      <c r="AI276" s="11"/>
      <c r="AJ276" s="3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</row>
    <row r="277" spans="1:54" x14ac:dyDescent="0.3">
      <c r="A277" s="3">
        <v>43</v>
      </c>
      <c r="B277" s="3" t="str">
        <f>data_주일!D276</f>
        <v>김미라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</row>
    <row r="278" spans="1:54" x14ac:dyDescent="0.3">
      <c r="A278" s="3">
        <v>43</v>
      </c>
      <c r="B278" s="3" t="str">
        <f>data_주일!D277</f>
        <v>박하나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11"/>
      <c r="Y278" s="3"/>
      <c r="Z278" s="3"/>
      <c r="AA278" s="3"/>
      <c r="AB278" s="11"/>
      <c r="AC278" s="3"/>
      <c r="AD278" s="11"/>
      <c r="AE278" s="3"/>
      <c r="AF278" s="11"/>
      <c r="AG278" s="11"/>
      <c r="AH278" s="11"/>
      <c r="AI278" s="11"/>
      <c r="AJ278" s="3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</row>
    <row r="279" spans="1:54" x14ac:dyDescent="0.3">
      <c r="A279" s="3">
        <v>43</v>
      </c>
      <c r="B279" s="3" t="str">
        <f>data_주일!D278</f>
        <v>박현숙</v>
      </c>
      <c r="C279" s="3"/>
      <c r="D279" s="3"/>
      <c r="E279" s="4"/>
      <c r="F279" s="4"/>
      <c r="G279" s="3"/>
      <c r="H279" s="4"/>
      <c r="I279" s="4"/>
      <c r="J279" s="4"/>
      <c r="K279" s="4"/>
      <c r="L279" s="4"/>
      <c r="M279" s="4"/>
      <c r="N279" s="4"/>
      <c r="O279" s="4"/>
      <c r="P279" s="3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3"/>
      <c r="AB279" s="11"/>
      <c r="AC279" s="11"/>
      <c r="AD279" s="11"/>
      <c r="AE279" s="11"/>
      <c r="AF279" s="11"/>
      <c r="AG279" s="11"/>
      <c r="AH279" s="11"/>
      <c r="AI279" s="11"/>
      <c r="AJ279" s="3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</row>
    <row r="280" spans="1:54" x14ac:dyDescent="0.3">
      <c r="A280" s="3">
        <v>43</v>
      </c>
      <c r="B280" s="3" t="str">
        <f>data_주일!D279</f>
        <v>배윤하</v>
      </c>
      <c r="C280" s="3"/>
      <c r="D280" s="3"/>
      <c r="E280" s="3"/>
      <c r="F280" s="4"/>
      <c r="G280" s="3"/>
      <c r="H280" s="4"/>
      <c r="I280" s="4"/>
      <c r="J280" s="4"/>
      <c r="K280" s="4"/>
      <c r="L280" s="4"/>
      <c r="M280" s="4"/>
      <c r="N280" s="4"/>
      <c r="O280" s="3"/>
      <c r="P280" s="3"/>
      <c r="Q280" s="11"/>
      <c r="R280" s="11"/>
      <c r="S280" s="11"/>
      <c r="T280" s="11"/>
      <c r="U280" s="3"/>
      <c r="V280" s="11"/>
      <c r="W280" s="11"/>
      <c r="X280" s="11"/>
      <c r="Y280" s="11"/>
      <c r="Z280" s="11"/>
      <c r="AA280" s="3"/>
      <c r="AB280" s="11"/>
      <c r="AC280" s="11"/>
      <c r="AD280" s="11"/>
      <c r="AE280" s="11"/>
      <c r="AF280" s="11"/>
      <c r="AG280" s="11"/>
      <c r="AH280" s="11"/>
      <c r="AI280" s="11"/>
      <c r="AJ280" s="3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</row>
    <row r="281" spans="1:54" x14ac:dyDescent="0.3">
      <c r="A281" s="3">
        <v>43</v>
      </c>
      <c r="B281" s="3" t="str">
        <f>data_주일!D280</f>
        <v>안선희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</row>
    <row r="282" spans="1:54" x14ac:dyDescent="0.3">
      <c r="A282" s="3">
        <v>43</v>
      </c>
      <c r="B282" s="3" t="str">
        <f>data_주일!D281</f>
        <v>안윤희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11"/>
      <c r="Y282" s="11"/>
      <c r="Z282" s="3"/>
      <c r="AA282" s="3"/>
      <c r="AB282" s="11"/>
      <c r="AC282" s="3"/>
      <c r="AD282" s="3"/>
      <c r="AE282" s="3"/>
      <c r="AF282" s="11"/>
      <c r="AG282" s="11"/>
      <c r="AH282" s="11"/>
      <c r="AI282" s="11"/>
      <c r="AJ282" s="3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</row>
    <row r="283" spans="1:54" x14ac:dyDescent="0.3">
      <c r="A283" s="3">
        <v>43</v>
      </c>
      <c r="B283" s="3" t="str">
        <f>data_주일!D282</f>
        <v>오성연</v>
      </c>
      <c r="C283" s="3"/>
      <c r="D283" s="3"/>
      <c r="E283" s="3"/>
      <c r="F283" s="3"/>
      <c r="G283" s="3"/>
      <c r="H283" s="4"/>
      <c r="I283" s="4"/>
      <c r="J283" s="4"/>
      <c r="K283" s="4"/>
      <c r="L283" s="4"/>
      <c r="M283" s="3"/>
      <c r="N283" s="4"/>
      <c r="O283" s="4"/>
      <c r="P283" s="3"/>
      <c r="Q283" s="11"/>
      <c r="R283" s="11"/>
      <c r="S283" s="3"/>
      <c r="T283" s="11"/>
      <c r="U283" s="3"/>
      <c r="V283" s="11"/>
      <c r="W283" s="11"/>
      <c r="X283" s="11"/>
      <c r="Y283" s="11"/>
      <c r="Z283" s="11"/>
      <c r="AA283" s="3"/>
      <c r="AB283" s="11"/>
      <c r="AC283" s="11"/>
      <c r="AD283" s="11"/>
      <c r="AE283" s="11"/>
      <c r="AF283" s="11"/>
      <c r="AG283" s="11"/>
      <c r="AH283" s="11"/>
      <c r="AI283" s="11"/>
      <c r="AJ283" s="3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</row>
    <row r="284" spans="1:54" x14ac:dyDescent="0.3">
      <c r="A284" s="3">
        <v>43</v>
      </c>
      <c r="B284" s="3" t="str">
        <f>data_주일!D283</f>
        <v>이둘련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11"/>
      <c r="Y284" s="11"/>
      <c r="Z284" s="3"/>
      <c r="AA284" s="3"/>
      <c r="AB284" s="11"/>
      <c r="AC284" s="3"/>
      <c r="AD284" s="3"/>
      <c r="AE284" s="3"/>
      <c r="AF284" s="11"/>
      <c r="AG284" s="11"/>
      <c r="AH284" s="11"/>
      <c r="AI284" s="11"/>
      <c r="AJ284" s="3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</row>
    <row r="285" spans="1:54" x14ac:dyDescent="0.3">
      <c r="A285" s="3">
        <v>43</v>
      </c>
      <c r="B285" s="3" t="str">
        <f>data_주일!D284</f>
        <v>이소미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11"/>
      <c r="Y285" s="11"/>
      <c r="Z285" s="11"/>
      <c r="AA285" s="3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</row>
    <row r="286" spans="1:54" x14ac:dyDescent="0.3">
      <c r="A286" s="3">
        <v>43</v>
      </c>
      <c r="B286" s="3" t="str">
        <f>data_주일!D285</f>
        <v>조수진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11"/>
      <c r="AA286" s="3"/>
      <c r="AB286" s="11"/>
      <c r="AC286" s="3"/>
      <c r="AD286" s="11"/>
      <c r="AE286" s="3"/>
      <c r="AF286" s="11"/>
      <c r="AG286" s="11"/>
      <c r="AH286" s="11"/>
      <c r="AI286" s="11"/>
      <c r="AJ286" s="3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</row>
    <row r="287" spans="1:54" x14ac:dyDescent="0.3">
      <c r="A287" s="3">
        <v>43</v>
      </c>
      <c r="B287" s="3" t="str">
        <f>data_주일!D286</f>
        <v>주경숙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11"/>
      <c r="AC287" s="11"/>
      <c r="AD287" s="3"/>
      <c r="AE287" s="11"/>
      <c r="AF287" s="11"/>
      <c r="AG287" s="11"/>
      <c r="AH287" s="11"/>
      <c r="AI287" s="11"/>
      <c r="AJ287" s="3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</row>
    <row r="288" spans="1:54" x14ac:dyDescent="0.3">
      <c r="A288" s="3">
        <v>43</v>
      </c>
      <c r="B288" s="3" t="str">
        <f>data_주일!D287</f>
        <v>하화자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</row>
    <row r="289" spans="1:54" x14ac:dyDescent="0.3">
      <c r="A289" s="3">
        <v>43</v>
      </c>
      <c r="B289" s="3" t="str">
        <f>data_주일!D288</f>
        <v>김상금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</row>
    <row r="290" spans="1:54" x14ac:dyDescent="0.3">
      <c r="A290" s="3">
        <v>43</v>
      </c>
      <c r="B290" s="3" t="str">
        <f>data_주일!D289</f>
        <v>김재용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</row>
    <row r="291" spans="1:54" x14ac:dyDescent="0.3">
      <c r="A291" s="3">
        <v>43</v>
      </c>
      <c r="B291" s="3" t="str">
        <f>data_주일!D290</f>
        <v>배경순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</row>
    <row r="292" spans="1:54" x14ac:dyDescent="0.3">
      <c r="A292" s="3">
        <v>43</v>
      </c>
      <c r="B292" s="3" t="str">
        <f>data_주일!D291</f>
        <v>서영석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</row>
    <row r="293" spans="1:54" s="2" customFormat="1" x14ac:dyDescent="0.3">
      <c r="A293" s="3">
        <v>43</v>
      </c>
      <c r="B293" s="3" t="str">
        <f>data_주일!D292</f>
        <v>최복남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:54" x14ac:dyDescent="0.3">
      <c r="A294" s="3">
        <v>43</v>
      </c>
      <c r="B294" s="3" t="str">
        <f>data_주일!D293</f>
        <v>김나용</v>
      </c>
      <c r="C294" s="3"/>
      <c r="D294" s="3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3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</row>
    <row r="295" spans="1:54" x14ac:dyDescent="0.3">
      <c r="A295" s="3">
        <v>43</v>
      </c>
      <c r="B295" s="3" t="str">
        <f>data_주일!D294</f>
        <v>김희승</v>
      </c>
      <c r="C295" s="3"/>
      <c r="D295" s="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</row>
    <row r="296" spans="1:54" x14ac:dyDescent="0.3">
      <c r="A296" s="3">
        <v>43</v>
      </c>
      <c r="B296" s="3" t="str">
        <f>data_주일!D295</f>
        <v>이지영</v>
      </c>
      <c r="C296" s="3"/>
      <c r="D296" s="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3"/>
      <c r="AA296" s="3"/>
      <c r="AB296" s="11"/>
      <c r="AC296" s="3"/>
      <c r="AD296" s="3"/>
      <c r="AE296" s="3"/>
      <c r="AF296" s="11"/>
      <c r="AG296" s="3"/>
      <c r="AH296" s="11"/>
      <c r="AI296" s="3"/>
      <c r="AJ296" s="3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</row>
    <row r="297" spans="1:54" x14ac:dyDescent="0.3">
      <c r="A297" s="3">
        <v>43</v>
      </c>
      <c r="B297" s="3" t="str">
        <f>data_주일!D296</f>
        <v>정호진</v>
      </c>
      <c r="C297" s="3"/>
      <c r="D297" s="3"/>
      <c r="E297" s="4"/>
      <c r="F297" s="4"/>
      <c r="G297" s="3"/>
      <c r="H297" s="4"/>
      <c r="I297" s="4"/>
      <c r="J297" s="4"/>
      <c r="K297" s="4"/>
      <c r="L297" s="4"/>
      <c r="M297" s="4"/>
      <c r="N297" s="4"/>
      <c r="O297" s="4"/>
      <c r="P297" s="3"/>
      <c r="Q297" s="11"/>
      <c r="R297" s="11"/>
      <c r="S297" s="11"/>
      <c r="T297" s="11"/>
      <c r="U297" s="11"/>
      <c r="V297" s="11"/>
      <c r="W297" s="11"/>
      <c r="X297" s="11"/>
      <c r="Y297" s="11"/>
      <c r="Z297" s="3"/>
      <c r="AA297" s="3"/>
      <c r="AB297" s="11"/>
      <c r="AC297" s="3"/>
      <c r="AD297" s="3"/>
      <c r="AE297" s="3"/>
      <c r="AF297" s="11"/>
      <c r="AG297" s="3"/>
      <c r="AH297" s="11"/>
      <c r="AI297" s="3"/>
      <c r="AJ297" s="3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</row>
    <row r="298" spans="1:54" x14ac:dyDescent="0.3">
      <c r="A298" s="3">
        <v>43</v>
      </c>
      <c r="B298" s="3" t="str">
        <f>data_주일!D297</f>
        <v>조동주</v>
      </c>
      <c r="M298" s="22"/>
      <c r="P298" s="3"/>
      <c r="U298" s="23"/>
    </row>
    <row r="299" spans="1:54" x14ac:dyDescent="0.3">
      <c r="A299" s="3">
        <v>43</v>
      </c>
      <c r="B299" s="3" t="str">
        <f>data_주일!D298</f>
        <v>최인혁</v>
      </c>
    </row>
    <row r="300" spans="1:54" x14ac:dyDescent="0.3">
      <c r="A300" s="3">
        <v>43</v>
      </c>
      <c r="B300" s="3" t="str">
        <f>data_주일!D299</f>
        <v>황다혜</v>
      </c>
    </row>
    <row r="302" spans="1:54" x14ac:dyDescent="0.3">
      <c r="J302" s="3"/>
      <c r="P302" s="3"/>
    </row>
    <row r="314" spans="2:2" x14ac:dyDescent="0.3">
      <c r="B314" s="24"/>
    </row>
    <row r="315" spans="2:2" x14ac:dyDescent="0.3">
      <c r="B315" s="24"/>
    </row>
  </sheetData>
  <mergeCells count="1">
    <mergeCell ref="A9:B9"/>
  </mergeCells>
  <phoneticPr fontId="7" type="noConversion"/>
  <pageMargins left="0.69972223043441772" right="0.69972223043441772" top="0.75" bottom="0.75" header="0.30000001192092896" footer="0.30000001192092896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C1:E47"/>
  <sheetViews>
    <sheetView zoomScaleSheetLayoutView="100" workbookViewId="0">
      <selection activeCell="F32" sqref="F32"/>
    </sheetView>
  </sheetViews>
  <sheetFormatPr defaultColWidth="9" defaultRowHeight="16.5" x14ac:dyDescent="0.3"/>
  <cols>
    <col min="3" max="3" width="12.25" style="14" customWidth="1"/>
    <col min="4" max="4" width="9" style="11"/>
    <col min="5" max="5" width="9" style="15"/>
  </cols>
  <sheetData>
    <row r="1" spans="3:5" x14ac:dyDescent="0.3">
      <c r="C1" s="16" t="s">
        <v>236</v>
      </c>
      <c r="D1" s="17" t="s">
        <v>283</v>
      </c>
      <c r="E1" s="18" t="s">
        <v>222</v>
      </c>
    </row>
    <row r="2" spans="3:5" x14ac:dyDescent="0.3">
      <c r="C2" s="19" t="s">
        <v>0</v>
      </c>
      <c r="D2" s="20" t="s">
        <v>210</v>
      </c>
      <c r="E2" s="21" t="s">
        <v>277</v>
      </c>
    </row>
    <row r="3" spans="3:5" x14ac:dyDescent="0.3">
      <c r="C3" s="12" t="s">
        <v>0</v>
      </c>
      <c r="D3" s="3" t="s">
        <v>177</v>
      </c>
    </row>
    <row r="4" spans="3:5" x14ac:dyDescent="0.3">
      <c r="C4" s="12" t="s">
        <v>0</v>
      </c>
      <c r="D4" s="3" t="s">
        <v>262</v>
      </c>
      <c r="E4" s="15" t="s">
        <v>47</v>
      </c>
    </row>
    <row r="5" spans="3:5" x14ac:dyDescent="0.3">
      <c r="C5" s="12" t="s">
        <v>0</v>
      </c>
      <c r="D5" s="3" t="s">
        <v>208</v>
      </c>
      <c r="E5" s="15" t="s">
        <v>203</v>
      </c>
    </row>
    <row r="6" spans="3:5" x14ac:dyDescent="0.3">
      <c r="C6" s="12" t="s">
        <v>9</v>
      </c>
      <c r="D6" s="3" t="s">
        <v>28</v>
      </c>
      <c r="E6" s="15" t="s">
        <v>198</v>
      </c>
    </row>
    <row r="7" spans="3:5" x14ac:dyDescent="0.3">
      <c r="C7" s="12" t="s">
        <v>9</v>
      </c>
      <c r="D7" s="3" t="s">
        <v>141</v>
      </c>
      <c r="E7" s="15" t="s">
        <v>198</v>
      </c>
    </row>
    <row r="8" spans="3:5" x14ac:dyDescent="0.3">
      <c r="C8" s="12" t="s">
        <v>9</v>
      </c>
      <c r="D8" s="3" t="s">
        <v>175</v>
      </c>
      <c r="E8" s="15" t="s">
        <v>63</v>
      </c>
    </row>
    <row r="9" spans="3:5" x14ac:dyDescent="0.3">
      <c r="C9" s="12" t="s">
        <v>9</v>
      </c>
      <c r="D9" s="3" t="s">
        <v>202</v>
      </c>
      <c r="E9" s="15" t="s">
        <v>216</v>
      </c>
    </row>
    <row r="10" spans="3:5" x14ac:dyDescent="0.3">
      <c r="C10" s="12" t="s">
        <v>9</v>
      </c>
      <c r="D10" s="3" t="s">
        <v>279</v>
      </c>
      <c r="E10" s="15" t="s">
        <v>216</v>
      </c>
    </row>
    <row r="11" spans="3:5" x14ac:dyDescent="0.3">
      <c r="C11" s="12" t="s">
        <v>9</v>
      </c>
      <c r="D11" s="3" t="s">
        <v>180</v>
      </c>
      <c r="E11" s="15" t="s">
        <v>63</v>
      </c>
    </row>
    <row r="12" spans="3:5" x14ac:dyDescent="0.3">
      <c r="C12" s="12" t="s">
        <v>3</v>
      </c>
      <c r="D12" s="3" t="s">
        <v>274</v>
      </c>
      <c r="E12" s="15" t="s">
        <v>13</v>
      </c>
    </row>
    <row r="13" spans="3:5" x14ac:dyDescent="0.3">
      <c r="C13" s="12" t="s">
        <v>3</v>
      </c>
      <c r="D13" s="3" t="s">
        <v>88</v>
      </c>
    </row>
    <row r="14" spans="3:5" x14ac:dyDescent="0.3">
      <c r="C14" s="12" t="s">
        <v>3</v>
      </c>
      <c r="D14" s="3" t="s">
        <v>224</v>
      </c>
      <c r="E14" s="15" t="s">
        <v>233</v>
      </c>
    </row>
    <row r="15" spans="3:5" x14ac:dyDescent="0.3">
      <c r="C15" s="12" t="s">
        <v>5</v>
      </c>
      <c r="D15" s="3" t="s">
        <v>168</v>
      </c>
      <c r="E15" s="15" t="s">
        <v>71</v>
      </c>
    </row>
    <row r="16" spans="3:5" x14ac:dyDescent="0.3">
      <c r="C16" s="12" t="s">
        <v>5</v>
      </c>
      <c r="D16" s="3" t="s">
        <v>44</v>
      </c>
      <c r="E16" s="15" t="s">
        <v>54</v>
      </c>
    </row>
    <row r="17" spans="3:5" x14ac:dyDescent="0.3">
      <c r="C17" s="12" t="s">
        <v>5</v>
      </c>
      <c r="D17" s="3" t="s">
        <v>207</v>
      </c>
      <c r="E17" s="15" t="s">
        <v>82</v>
      </c>
    </row>
    <row r="18" spans="3:5" x14ac:dyDescent="0.3">
      <c r="C18" s="12" t="s">
        <v>5</v>
      </c>
      <c r="D18" s="3" t="s">
        <v>213</v>
      </c>
      <c r="E18" s="15" t="s">
        <v>107</v>
      </c>
    </row>
    <row r="19" spans="3:5" x14ac:dyDescent="0.3">
      <c r="C19" s="12" t="s">
        <v>1</v>
      </c>
      <c r="D19" s="3" t="s">
        <v>246</v>
      </c>
    </row>
    <row r="20" spans="3:5" x14ac:dyDescent="0.3">
      <c r="C20" s="12" t="s">
        <v>1</v>
      </c>
      <c r="D20" s="3" t="s">
        <v>160</v>
      </c>
      <c r="E20" s="15" t="s">
        <v>62</v>
      </c>
    </row>
    <row r="21" spans="3:5" x14ac:dyDescent="0.3">
      <c r="C21" s="12" t="s">
        <v>1</v>
      </c>
      <c r="D21" s="3" t="s">
        <v>209</v>
      </c>
      <c r="E21" s="15" t="s">
        <v>62</v>
      </c>
    </row>
    <row r="22" spans="3:5" x14ac:dyDescent="0.3">
      <c r="C22" s="12" t="s">
        <v>4</v>
      </c>
      <c r="D22" s="3" t="s">
        <v>261</v>
      </c>
    </row>
    <row r="23" spans="3:5" x14ac:dyDescent="0.3">
      <c r="C23" s="12" t="s">
        <v>4</v>
      </c>
      <c r="D23" s="3" t="s">
        <v>169</v>
      </c>
    </row>
    <row r="24" spans="3:5" x14ac:dyDescent="0.3">
      <c r="C24" s="12" t="s">
        <v>4</v>
      </c>
      <c r="D24" s="3" t="s">
        <v>237</v>
      </c>
      <c r="E24" s="15" t="s">
        <v>118</v>
      </c>
    </row>
    <row r="25" spans="3:5" x14ac:dyDescent="0.3">
      <c r="C25" s="12" t="s">
        <v>4</v>
      </c>
      <c r="D25" s="3" t="s">
        <v>195</v>
      </c>
      <c r="E25" s="15" t="s">
        <v>237</v>
      </c>
    </row>
    <row r="26" spans="3:5" x14ac:dyDescent="0.3">
      <c r="C26" s="12" t="s">
        <v>4</v>
      </c>
      <c r="D26" s="3" t="s">
        <v>242</v>
      </c>
    </row>
    <row r="27" spans="3:5" x14ac:dyDescent="0.3">
      <c r="C27" s="12" t="s">
        <v>4</v>
      </c>
      <c r="D27" s="3" t="s">
        <v>196</v>
      </c>
      <c r="E27" s="15" t="s">
        <v>101</v>
      </c>
    </row>
    <row r="28" spans="3:5" x14ac:dyDescent="0.3">
      <c r="C28" s="12" t="s">
        <v>4</v>
      </c>
      <c r="D28" s="3" t="s">
        <v>193</v>
      </c>
      <c r="E28" s="15" t="s">
        <v>118</v>
      </c>
    </row>
    <row r="29" spans="3:5" x14ac:dyDescent="0.3">
      <c r="C29" s="12" t="s">
        <v>4</v>
      </c>
      <c r="D29" s="3" t="s">
        <v>238</v>
      </c>
      <c r="E29" s="15" t="s">
        <v>101</v>
      </c>
    </row>
    <row r="30" spans="3:5" x14ac:dyDescent="0.3">
      <c r="C30" s="12" t="s">
        <v>4</v>
      </c>
      <c r="D30" s="3" t="s">
        <v>52</v>
      </c>
      <c r="E30" s="15" t="s">
        <v>101</v>
      </c>
    </row>
    <row r="31" spans="3:5" x14ac:dyDescent="0.3">
      <c r="C31" s="12" t="s">
        <v>2</v>
      </c>
      <c r="D31" s="3" t="s">
        <v>199</v>
      </c>
    </row>
    <row r="32" spans="3:5" x14ac:dyDescent="0.3">
      <c r="C32" s="12" t="s">
        <v>292</v>
      </c>
      <c r="D32" s="3" t="s">
        <v>200</v>
      </c>
    </row>
    <row r="33" spans="3:4" x14ac:dyDescent="0.3">
      <c r="C33" s="12" t="s">
        <v>292</v>
      </c>
      <c r="D33" s="3" t="s">
        <v>223</v>
      </c>
    </row>
    <row r="34" spans="3:4" x14ac:dyDescent="0.3">
      <c r="C34" s="12" t="s">
        <v>292</v>
      </c>
      <c r="D34" s="3" t="s">
        <v>190</v>
      </c>
    </row>
    <row r="35" spans="3:4" x14ac:dyDescent="0.3">
      <c r="C35" s="12" t="s">
        <v>292</v>
      </c>
      <c r="D35" s="3" t="s">
        <v>228</v>
      </c>
    </row>
    <row r="36" spans="3:4" x14ac:dyDescent="0.3">
      <c r="C36" s="12" t="s">
        <v>2</v>
      </c>
      <c r="D36" s="3" t="s">
        <v>125</v>
      </c>
    </row>
    <row r="37" spans="3:4" x14ac:dyDescent="0.3">
      <c r="C37" s="12" t="s">
        <v>2</v>
      </c>
      <c r="D37" s="3" t="s">
        <v>31</v>
      </c>
    </row>
    <row r="38" spans="3:4" x14ac:dyDescent="0.3">
      <c r="C38" s="12" t="s">
        <v>2</v>
      </c>
      <c r="D38" s="3" t="s">
        <v>243</v>
      </c>
    </row>
    <row r="39" spans="3:4" x14ac:dyDescent="0.3">
      <c r="C39" s="12" t="s">
        <v>2</v>
      </c>
      <c r="D39" s="3" t="s">
        <v>99</v>
      </c>
    </row>
    <row r="40" spans="3:4" x14ac:dyDescent="0.3">
      <c r="C40" s="12" t="s">
        <v>2</v>
      </c>
      <c r="D40" s="3" t="s">
        <v>146</v>
      </c>
    </row>
    <row r="41" spans="3:4" x14ac:dyDescent="0.3">
      <c r="C41" s="12" t="s">
        <v>2</v>
      </c>
      <c r="D41" s="3" t="s">
        <v>223</v>
      </c>
    </row>
    <row r="42" spans="3:4" x14ac:dyDescent="0.3">
      <c r="C42" s="12" t="s">
        <v>2</v>
      </c>
      <c r="D42" s="3" t="s">
        <v>215</v>
      </c>
    </row>
    <row r="43" spans="3:4" x14ac:dyDescent="0.3">
      <c r="C43" s="12" t="s">
        <v>2</v>
      </c>
      <c r="D43" s="3" t="s">
        <v>272</v>
      </c>
    </row>
    <row r="44" spans="3:4" x14ac:dyDescent="0.3">
      <c r="C44" s="12" t="s">
        <v>2</v>
      </c>
      <c r="D44" s="3" t="s">
        <v>191</v>
      </c>
    </row>
    <row r="45" spans="3:4" x14ac:dyDescent="0.3">
      <c r="C45" s="12" t="s">
        <v>2</v>
      </c>
      <c r="D45" s="3" t="s">
        <v>128</v>
      </c>
    </row>
    <row r="46" spans="3:4" x14ac:dyDescent="0.3">
      <c r="C46" s="12" t="s">
        <v>7</v>
      </c>
      <c r="D46" s="3" t="s">
        <v>226</v>
      </c>
    </row>
    <row r="47" spans="3:4" x14ac:dyDescent="0.3">
      <c r="C47" s="12" t="s">
        <v>6</v>
      </c>
      <c r="D47" s="3" t="s">
        <v>172</v>
      </c>
    </row>
  </sheetData>
  <phoneticPr fontId="7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5239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4</vt:i4>
      </vt:variant>
    </vt:vector>
  </HeadingPairs>
  <TitlesOfParts>
    <vt:vector size="12" baseType="lpstr">
      <vt:lpstr>26년1~3월</vt:lpstr>
      <vt:lpstr>26년4~5월</vt:lpstr>
      <vt:lpstr>26년5~6월</vt:lpstr>
      <vt:lpstr>26년5~7월</vt:lpstr>
      <vt:lpstr>26년6~8월</vt:lpstr>
      <vt:lpstr>data_주일</vt:lpstr>
      <vt:lpstr>data_수요일</vt:lpstr>
      <vt:lpstr>출석부 추가표시 명단</vt:lpstr>
      <vt:lpstr>'26년4~5월'!Print_Area</vt:lpstr>
      <vt:lpstr>'26년5~6월'!Print_Area</vt:lpstr>
      <vt:lpstr>'26년5~7월'!Print_Area</vt:lpstr>
      <vt:lpstr>'26년6~8월'!Print_Area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YONGYULL LIM</dc:creator>
  <cp:lastModifiedBy>YONGYULL LIM</cp:lastModifiedBy>
  <cp:revision>405</cp:revision>
  <cp:lastPrinted>2026-05-24T23:05:56Z</cp:lastPrinted>
  <dcterms:created xsi:type="dcterms:W3CDTF">2022-03-05T09:26:48Z</dcterms:created>
  <dcterms:modified xsi:type="dcterms:W3CDTF">2026-08-23T14:32:12Z</dcterms:modified>
  <cp:version>1100.0100.01</cp:version>
</cp:coreProperties>
</file>